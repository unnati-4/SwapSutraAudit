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reach" sheetId="1" state="visible" r:id="rId3"/>
    <sheet name="Dashboard" sheetId="2" state="visible" r:id="rId4"/>
    <sheet name="Kahan kholna ha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<sst xmlns="http://schemas.openxmlformats.org/spreadsheetml/2006/main" count="48" uniqueCount="45">
  <si>
    <t xml:space="preserve">SwapSutra — Outreach Log</t>
  </si>
  <si>
    <t xml:space="preserve">Roz 10 message. Sirf un listings par jo aapne khud padhi hain. Yellow columns aap bharti hain.</t>
  </si>
  <si>
    <t xml:space="preserve">Date</t>
  </si>
  <si>
    <t xml:space="preserve">Naam</t>
  </si>
  <si>
    <t xml:space="preserve">Kahan mila</t>
  </si>
  <si>
    <t xml:space="preserve">Listing / kaunsi kitaab</t>
  </si>
  <si>
    <t xml:space="preserve">Pincode / ilaka</t>
  </si>
  <si>
    <t xml:space="preserve">Message bheja?</t>
  </si>
  <si>
    <t xml:space="preserve">Reply aaya?</t>
  </si>
  <si>
    <t xml:space="preserve">Join kiya?</t>
  </si>
  <si>
    <t xml:space="preserve">Kitaabein list ki</t>
  </si>
  <si>
    <t xml:space="preserve">Swap hua?</t>
  </si>
  <si>
    <t xml:space="preserve">Notes</t>
  </si>
  <si>
    <t xml:space="preserve">2026-09-01</t>
  </si>
  <si>
    <t xml:space="preserve">Rahul</t>
  </si>
  <si>
    <t xml:space="preserve">OLX</t>
  </si>
  <si>
    <t xml:space="preserve">Lucent GK + SSC CGL previous papers</t>
  </si>
  <si>
    <t xml:space="preserve">247001</t>
  </si>
  <si>
    <t xml:space="preserve">Haan</t>
  </si>
  <si>
    <t xml:space="preserve">Nahi</t>
  </si>
  <si>
    <t xml:space="preserve">EXAMPLE ROW — ise mita dijiye. Reasoning book chahiye thi.</t>
  </si>
  <si>
    <t xml:space="preserve">Har hafte sirf ye dekhiye</t>
  </si>
  <si>
    <t xml:space="preserve">Ye page apne aap bharta hai — Outreach tab bhariye, yahan kuch mat likhiye.</t>
  </si>
  <si>
    <t xml:space="preserve">Number</t>
  </si>
  <si>
    <t xml:space="preserve">Abhi</t>
  </si>
  <si>
    <t xml:space="preserve">Kitne logon ko message bheja</t>
  </si>
  <si>
    <t xml:space="preserve">Kitno ne reply kiya</t>
  </si>
  <si>
    <t xml:space="preserve">Kitno ne join kiya</t>
  </si>
  <si>
    <t xml:space="preserve">Reply rate</t>
  </si>
  <si>
    <t xml:space="preserve">Join rate (message se)</t>
  </si>
  <si>
    <t xml:space="preserve">Kul kitaabein list hui</t>
  </si>
  <si>
    <t xml:space="preserve">ACTIVE READERS (3+ kitaab aur 1 swap)</t>
  </si>
  <si>
    <t xml:space="preserve">Founding seats bache (100 mein se)</t>
  </si>
  <si>
    <t xml:space="preserve">Sirf ek number maayne rakhta hai: ACTIVE READERS.</t>
  </si>
  <si>
    <t xml:space="preserve">Signup ginne se aap khush hongi aur kuch nahi seekhengi.</t>
  </si>
  <si>
    <t xml:space="preserve">Ek reader tab active hai jab usne 3 kitaabein list ki HON aur 1 swap poora kiya ho.</t>
  </si>
  <si>
    <t xml:space="preserve">90 din ka lakshya: ek zile mein 40 active readers. Das hazaar signup nahi.</t>
  </si>
  <si>
    <t xml:space="preserve">Reply rate 10% se kam ho to message badliye, mehnat nahi.</t>
  </si>
  <si>
    <t xml:space="preserve">Join rate kam ho to signup flow dekhiye — shayad pehli kitaab maangna bhool rahe hain.</t>
  </si>
  <si>
    <t xml:space="preserve">Pincode se demand</t>
  </si>
  <si>
    <t xml:space="preserve">Har baatcheet mein pincode poochhiye. Jahan sabse zyada log hain, agla wahi ilaka.</t>
  </si>
  <si>
    <t xml:space="preserve">Kitne log</t>
  </si>
  <si>
    <t xml:space="preserve">Kaunsi kitaabein maang rahe hain</t>
  </si>
  <si>
    <t xml:space="preserve">247001 (Saharanpur city)</t>
  </si>
  <si>
    <t xml:space="preserve">EXAMPLE — SSC reasoning, Lucent GK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</si>
</sst>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11D19"/>
      <name val="Arial"/>
      <family val="0"/>
      <charset val="1"/>
    </font>
    <font>
      <i val="true"/>
      <sz val="10"/>
      <color rgb="FF574E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A7F72"/>
      <name val="Arial"/>
      <family val="0"/>
      <charset val="1"/>
    </font>
    <font>
      <sz val="10"/>
      <color rgb="FF211D19"/>
      <name val="Arial"/>
      <family val="0"/>
      <charset val="1"/>
    </font>
    <font>
      <sz val="11"/>
      <color rgb="FF211D19"/>
      <name val="Arial"/>
      <family val="0"/>
      <charset val="1"/>
    </font>
    <font>
      <b val="true"/>
      <sz val="12"/>
      <color rgb="FF211D19"/>
      <name val="Arial"/>
      <family val="0"/>
      <charset val="1"/>
    </font>
    <font>
      <b val="true"/>
      <sz val="11"/>
      <color rgb="FF211D19"/>
      <name val="Arial"/>
      <family val="0"/>
      <charset val="1"/>
    </font>
    <font>
      <b val="true"/>
      <sz val="11"/>
      <color rgb="FFB0526C"/>
      <name val="Arial"/>
      <family val="0"/>
      <charset val="1"/>
    </font>
    <font>
      <sz val="10"/>
      <color rgb="FF574E4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0526C"/>
        <bgColor rgb="FF993366"/>
      </patternFill>
    </fill>
    <fill>
      <patternFill patternType="solid">
        <fgColor rgb="FFF7F3EC"/>
        <bgColor rgb="FFEFE8DD"/>
      </patternFill>
    </fill>
    <fill>
      <patternFill patternType="solid">
        <fgColor rgb="FFFFF3C4"/>
        <bgColor rgb="FFF7F3EC"/>
      </patternFill>
    </fill>
    <fill>
      <patternFill patternType="solid">
        <fgColor rgb="FFEFE8DD"/>
        <bgColor rgb="FFE0EDE4"/>
      </patternFill>
    </fill>
    <fill>
      <patternFill patternType="solid">
        <fgColor rgb="FFE0EDE4"/>
        <bgColor rgb="FFEFE8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D2C4"/>
      </left>
      <right style="thin">
        <color rgb="FFDCD2C4"/>
      </right>
      <top style="thin">
        <color rgb="FFDCD2C4"/>
      </top>
      <bottom style="thin">
        <color rgb="FFDCD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CD2C4"/>
      <rgbColor rgb="FF8A7F72"/>
      <rgbColor rgb="FF9999FF"/>
      <rgbColor rgb="FFB0526C"/>
      <rgbColor rgb="FFFFF3C4"/>
      <rgbColor rgb="FFF7F3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8DD"/>
      <rgbColor rgb="FFE0ED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11D19"/>
      <rgbColor rgb="FF993300"/>
      <rgbColor rgb="FF993366"/>
      <rgbColor rgb="FF333399"/>
      <rgbColor rgb="FF574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3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18</v>
      </c>
      <c r="H5" s="4" t="s">
        <v>18</v>
      </c>
      <c r="I5" s="4" t="n">
        <v>3</v>
      </c>
      <c r="J5" s="4" t="s">
        <v>19</v>
      </c>
      <c r="K5" s="4" t="s">
        <v>20</v>
      </c>
    </row>
    <row r="6" customFormat="false" ht="15" hidden="false" customHeight="false" outlineLevel="0" collapsed="false">
      <c r="A6" s="5"/>
      <c r="B6" s="5"/>
      <c r="C6" s="5"/>
      <c r="D6" s="5"/>
      <c r="E6" s="5"/>
      <c r="F6" s="6"/>
      <c r="G6" s="6"/>
      <c r="H6" s="6"/>
      <c r="I6" s="6"/>
      <c r="J6" s="6"/>
      <c r="K6" s="5"/>
    </row>
    <row r="7" customFormat="false" ht="15" hidden="false" customHeight="false" outlineLevel="0" collapsed="false">
      <c r="A7" s="5"/>
      <c r="B7" s="5"/>
      <c r="C7" s="5"/>
      <c r="D7" s="5"/>
      <c r="E7" s="5"/>
      <c r="F7" s="6"/>
      <c r="G7" s="6"/>
      <c r="H7" s="6"/>
      <c r="I7" s="6"/>
      <c r="J7" s="6"/>
      <c r="K7" s="5"/>
    </row>
    <row r="8" customFormat="false" ht="15" hidden="false" customHeight="false" outlineLevel="0" collapsed="false">
      <c r="A8" s="5"/>
      <c r="B8" s="5"/>
      <c r="C8" s="5"/>
      <c r="D8" s="5"/>
      <c r="E8" s="5"/>
      <c r="F8" s="6"/>
      <c r="G8" s="6"/>
      <c r="H8" s="6"/>
      <c r="I8" s="6"/>
      <c r="J8" s="6"/>
      <c r="K8" s="5"/>
    </row>
    <row r="9" customFormat="false" ht="15" hidden="false" customHeight="false" outlineLevel="0" collapsed="false">
      <c r="A9" s="5"/>
      <c r="B9" s="5"/>
      <c r="C9" s="5"/>
      <c r="D9" s="5"/>
      <c r="E9" s="5"/>
      <c r="F9" s="6"/>
      <c r="G9" s="6"/>
      <c r="H9" s="6"/>
      <c r="I9" s="6"/>
      <c r="J9" s="6"/>
      <c r="K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6"/>
      <c r="G10" s="6"/>
      <c r="H10" s="6"/>
      <c r="I10" s="6"/>
      <c r="J10" s="6"/>
      <c r="K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6"/>
      <c r="G11" s="6"/>
      <c r="H11" s="6"/>
      <c r="I11" s="6"/>
      <c r="J11" s="6"/>
      <c r="K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6"/>
      <c r="G12" s="6"/>
      <c r="H12" s="6"/>
      <c r="I12" s="6"/>
      <c r="J12" s="6"/>
      <c r="K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6"/>
      <c r="G13" s="6"/>
      <c r="H13" s="6"/>
      <c r="I13" s="6"/>
      <c r="J13" s="6"/>
      <c r="K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6"/>
      <c r="G14" s="6"/>
      <c r="H14" s="6"/>
      <c r="I14" s="6"/>
      <c r="J14" s="6"/>
      <c r="K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6"/>
      <c r="G15" s="6"/>
      <c r="H15" s="6"/>
      <c r="I15" s="6"/>
      <c r="J15" s="6"/>
      <c r="K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6"/>
      <c r="G16" s="6"/>
      <c r="H16" s="6"/>
      <c r="I16" s="6"/>
      <c r="J16" s="6"/>
      <c r="K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6"/>
      <c r="G17" s="6"/>
      <c r="H17" s="6"/>
      <c r="I17" s="6"/>
      <c r="J17" s="6"/>
      <c r="K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6"/>
      <c r="G18" s="6"/>
      <c r="H18" s="6"/>
      <c r="I18" s="6"/>
      <c r="J18" s="6"/>
      <c r="K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6"/>
      <c r="G19" s="6"/>
      <c r="H19" s="6"/>
      <c r="I19" s="6"/>
      <c r="J19" s="6"/>
      <c r="K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6"/>
      <c r="G20" s="6"/>
      <c r="H20" s="6"/>
      <c r="I20" s="6"/>
      <c r="J20" s="6"/>
      <c r="K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6"/>
      <c r="G21" s="6"/>
      <c r="H21" s="6"/>
      <c r="I21" s="6"/>
      <c r="J21" s="6"/>
      <c r="K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6"/>
      <c r="G22" s="6"/>
      <c r="H22" s="6"/>
      <c r="I22" s="6"/>
      <c r="J22" s="6"/>
      <c r="K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6"/>
      <c r="G23" s="6"/>
      <c r="H23" s="6"/>
      <c r="I23" s="6"/>
      <c r="J23" s="6"/>
      <c r="K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6"/>
      <c r="G24" s="6"/>
      <c r="H24" s="6"/>
      <c r="I24" s="6"/>
      <c r="J24" s="6"/>
      <c r="K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6"/>
      <c r="G25" s="6"/>
      <c r="H25" s="6"/>
      <c r="I25" s="6"/>
      <c r="J25" s="6"/>
      <c r="K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6"/>
      <c r="G26" s="6"/>
      <c r="H26" s="6"/>
      <c r="I26" s="6"/>
      <c r="J26" s="6"/>
      <c r="K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6"/>
      <c r="G27" s="6"/>
      <c r="H27" s="6"/>
      <c r="I27" s="6"/>
      <c r="J27" s="6"/>
      <c r="K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6"/>
      <c r="G28" s="6"/>
      <c r="H28" s="6"/>
      <c r="I28" s="6"/>
      <c r="J28" s="6"/>
      <c r="K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6"/>
      <c r="G29" s="6"/>
      <c r="H29" s="6"/>
      <c r="I29" s="6"/>
      <c r="J29" s="6"/>
      <c r="K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6"/>
      <c r="G30" s="6"/>
      <c r="H30" s="6"/>
      <c r="I30" s="6"/>
      <c r="J30" s="6"/>
      <c r="K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6"/>
      <c r="G31" s="6"/>
      <c r="H31" s="6"/>
      <c r="I31" s="6"/>
      <c r="J31" s="6"/>
      <c r="K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6"/>
      <c r="G32" s="6"/>
      <c r="H32" s="6"/>
      <c r="I32" s="6"/>
      <c r="J32" s="6"/>
      <c r="K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6"/>
      <c r="G33" s="6"/>
      <c r="H33" s="6"/>
      <c r="I33" s="6"/>
      <c r="J33" s="6"/>
      <c r="K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6"/>
      <c r="G34" s="6"/>
      <c r="H34" s="6"/>
      <c r="I34" s="6"/>
      <c r="J34" s="6"/>
      <c r="K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6"/>
      <c r="G35" s="6"/>
      <c r="H35" s="6"/>
      <c r="I35" s="6"/>
      <c r="J35" s="6"/>
      <c r="K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6"/>
      <c r="G36" s="6"/>
      <c r="H36" s="6"/>
      <c r="I36" s="6"/>
      <c r="J36" s="6"/>
      <c r="K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6"/>
      <c r="G37" s="6"/>
      <c r="H37" s="6"/>
      <c r="I37" s="6"/>
      <c r="J37" s="6"/>
      <c r="K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6"/>
      <c r="G38" s="6"/>
      <c r="H38" s="6"/>
      <c r="I38" s="6"/>
      <c r="J38" s="6"/>
      <c r="K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6"/>
      <c r="G39" s="6"/>
      <c r="H39" s="6"/>
      <c r="I39" s="6"/>
      <c r="J39" s="6"/>
      <c r="K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6"/>
      <c r="G40" s="6"/>
      <c r="H40" s="6"/>
      <c r="I40" s="6"/>
      <c r="J40" s="6"/>
      <c r="K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6"/>
      <c r="G41" s="6"/>
      <c r="H41" s="6"/>
      <c r="I41" s="6"/>
      <c r="J41" s="6"/>
      <c r="K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6"/>
      <c r="G42" s="6"/>
      <c r="H42" s="6"/>
      <c r="I42" s="6"/>
      <c r="J42" s="6"/>
      <c r="K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6"/>
      <c r="G43" s="6"/>
      <c r="H43" s="6"/>
      <c r="I43" s="6"/>
      <c r="J43" s="6"/>
      <c r="K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6"/>
      <c r="G44" s="6"/>
      <c r="H44" s="6"/>
      <c r="I44" s="6"/>
      <c r="J44" s="6"/>
      <c r="K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6"/>
      <c r="G45" s="6"/>
      <c r="H45" s="6"/>
      <c r="I45" s="6"/>
      <c r="J45" s="6"/>
      <c r="K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6"/>
      <c r="G46" s="6"/>
      <c r="H46" s="6"/>
      <c r="I46" s="6"/>
      <c r="J46" s="6"/>
      <c r="K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6"/>
      <c r="G47" s="6"/>
      <c r="H47" s="6"/>
      <c r="I47" s="6"/>
      <c r="J47" s="6"/>
      <c r="K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6"/>
      <c r="G48" s="6"/>
      <c r="H48" s="6"/>
      <c r="I48" s="6"/>
      <c r="J48" s="6"/>
      <c r="K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6"/>
      <c r="G49" s="6"/>
      <c r="H49" s="6"/>
      <c r="I49" s="6"/>
      <c r="J49" s="6"/>
      <c r="K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6"/>
      <c r="G50" s="6"/>
      <c r="H50" s="6"/>
      <c r="I50" s="6"/>
      <c r="J50" s="6"/>
      <c r="K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6"/>
      <c r="G51" s="6"/>
      <c r="H51" s="6"/>
      <c r="I51" s="6"/>
      <c r="J51" s="6"/>
      <c r="K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6"/>
      <c r="G52" s="6"/>
      <c r="H52" s="6"/>
      <c r="I52" s="6"/>
      <c r="J52" s="6"/>
      <c r="K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6"/>
      <c r="G53" s="6"/>
      <c r="H53" s="6"/>
      <c r="I53" s="6"/>
      <c r="J53" s="6"/>
      <c r="K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6"/>
      <c r="G54" s="6"/>
      <c r="H54" s="6"/>
      <c r="I54" s="6"/>
      <c r="J54" s="6"/>
      <c r="K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6"/>
      <c r="G55" s="6"/>
      <c r="H55" s="6"/>
      <c r="I55" s="6"/>
      <c r="J55" s="6"/>
      <c r="K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6"/>
      <c r="G56" s="6"/>
      <c r="H56" s="6"/>
      <c r="I56" s="6"/>
      <c r="J56" s="6"/>
      <c r="K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6"/>
      <c r="G57" s="6"/>
      <c r="H57" s="6"/>
      <c r="I57" s="6"/>
      <c r="J57" s="6"/>
      <c r="K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6"/>
      <c r="G58" s="6"/>
      <c r="H58" s="6"/>
      <c r="I58" s="6"/>
      <c r="J58" s="6"/>
      <c r="K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6"/>
      <c r="G59" s="6"/>
      <c r="H59" s="6"/>
      <c r="I59" s="6"/>
      <c r="J59" s="6"/>
      <c r="K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6"/>
      <c r="G60" s="6"/>
      <c r="H60" s="6"/>
      <c r="I60" s="6"/>
      <c r="J60" s="6"/>
      <c r="K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6"/>
      <c r="G61" s="6"/>
      <c r="H61" s="6"/>
      <c r="I61" s="6"/>
      <c r="J61" s="6"/>
      <c r="K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6"/>
      <c r="G62" s="6"/>
      <c r="H62" s="6"/>
      <c r="I62" s="6"/>
      <c r="J62" s="6"/>
      <c r="K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6"/>
      <c r="G63" s="6"/>
      <c r="H63" s="6"/>
      <c r="I63" s="6"/>
      <c r="J63" s="6"/>
      <c r="K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6"/>
      <c r="G64" s="6"/>
      <c r="H64" s="6"/>
      <c r="I64" s="6"/>
      <c r="J64" s="6"/>
      <c r="K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6"/>
      <c r="G65" s="6"/>
      <c r="H65" s="6"/>
      <c r="I65" s="6"/>
      <c r="J65" s="6"/>
      <c r="K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6"/>
      <c r="G66" s="6"/>
      <c r="H66" s="6"/>
      <c r="I66" s="6"/>
      <c r="J66" s="6"/>
      <c r="K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6"/>
      <c r="G67" s="6"/>
      <c r="H67" s="6"/>
      <c r="I67" s="6"/>
      <c r="J67" s="6"/>
      <c r="K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6"/>
      <c r="G68" s="6"/>
      <c r="H68" s="6"/>
      <c r="I68" s="6"/>
      <c r="J68" s="6"/>
      <c r="K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6"/>
      <c r="G69" s="6"/>
      <c r="H69" s="6"/>
      <c r="I69" s="6"/>
      <c r="J69" s="6"/>
      <c r="K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6"/>
      <c r="G70" s="6"/>
      <c r="H70" s="6"/>
      <c r="I70" s="6"/>
      <c r="J70" s="6"/>
      <c r="K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6"/>
      <c r="G71" s="6"/>
      <c r="H71" s="6"/>
      <c r="I71" s="6"/>
      <c r="J71" s="6"/>
      <c r="K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6"/>
      <c r="G72" s="6"/>
      <c r="H72" s="6"/>
      <c r="I72" s="6"/>
      <c r="J72" s="6"/>
      <c r="K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6"/>
      <c r="G73" s="6"/>
      <c r="H73" s="6"/>
      <c r="I73" s="6"/>
      <c r="J73" s="6"/>
      <c r="K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6"/>
      <c r="G74" s="6"/>
      <c r="H74" s="6"/>
      <c r="I74" s="6"/>
      <c r="J74" s="6"/>
      <c r="K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6"/>
      <c r="G75" s="6"/>
      <c r="H75" s="6"/>
      <c r="I75" s="6"/>
      <c r="J75" s="6"/>
      <c r="K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6"/>
      <c r="G76" s="6"/>
      <c r="H76" s="6"/>
      <c r="I76" s="6"/>
      <c r="J76" s="6"/>
      <c r="K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6"/>
      <c r="G77" s="6"/>
      <c r="H77" s="6"/>
      <c r="I77" s="6"/>
      <c r="J77" s="6"/>
      <c r="K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6"/>
      <c r="G78" s="6"/>
      <c r="H78" s="6"/>
      <c r="I78" s="6"/>
      <c r="J78" s="6"/>
      <c r="K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6"/>
      <c r="G79" s="6"/>
      <c r="H79" s="6"/>
      <c r="I79" s="6"/>
      <c r="J79" s="6"/>
      <c r="K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6"/>
      <c r="G80" s="6"/>
      <c r="H80" s="6"/>
      <c r="I80" s="6"/>
      <c r="J80" s="6"/>
      <c r="K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6"/>
      <c r="G81" s="6"/>
      <c r="H81" s="6"/>
      <c r="I81" s="6"/>
      <c r="J81" s="6"/>
      <c r="K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6"/>
      <c r="G82" s="6"/>
      <c r="H82" s="6"/>
      <c r="I82" s="6"/>
      <c r="J82" s="6"/>
      <c r="K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6"/>
      <c r="G83" s="6"/>
      <c r="H83" s="6"/>
      <c r="I83" s="6"/>
      <c r="J83" s="6"/>
      <c r="K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6"/>
      <c r="G84" s="6"/>
      <c r="H84" s="6"/>
      <c r="I84" s="6"/>
      <c r="J84" s="6"/>
      <c r="K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6"/>
      <c r="G85" s="6"/>
      <c r="H85" s="6"/>
      <c r="I85" s="6"/>
      <c r="J85" s="6"/>
      <c r="K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6"/>
      <c r="G86" s="6"/>
      <c r="H86" s="6"/>
      <c r="I86" s="6"/>
      <c r="J86" s="6"/>
      <c r="K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6"/>
      <c r="G87" s="6"/>
      <c r="H87" s="6"/>
      <c r="I87" s="6"/>
      <c r="J87" s="6"/>
      <c r="K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6"/>
      <c r="G88" s="6"/>
      <c r="H88" s="6"/>
      <c r="I88" s="6"/>
      <c r="J88" s="6"/>
      <c r="K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6"/>
      <c r="G89" s="6"/>
      <c r="H89" s="6"/>
      <c r="I89" s="6"/>
      <c r="J89" s="6"/>
      <c r="K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6"/>
      <c r="G90" s="6"/>
      <c r="H90" s="6"/>
      <c r="I90" s="6"/>
      <c r="J90" s="6"/>
      <c r="K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6"/>
      <c r="G91" s="6"/>
      <c r="H91" s="6"/>
      <c r="I91" s="6"/>
      <c r="J91" s="6"/>
      <c r="K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6"/>
      <c r="G92" s="6"/>
      <c r="H92" s="6"/>
      <c r="I92" s="6"/>
      <c r="J92" s="6"/>
      <c r="K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6"/>
      <c r="G93" s="6"/>
      <c r="H93" s="6"/>
      <c r="I93" s="6"/>
      <c r="J93" s="6"/>
      <c r="K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6"/>
      <c r="G94" s="6"/>
      <c r="H94" s="6"/>
      <c r="I94" s="6"/>
      <c r="J94" s="6"/>
      <c r="K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6"/>
      <c r="G95" s="6"/>
      <c r="H95" s="6"/>
      <c r="I95" s="6"/>
      <c r="J95" s="6"/>
      <c r="K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6"/>
      <c r="G96" s="6"/>
      <c r="H96" s="6"/>
      <c r="I96" s="6"/>
      <c r="J96" s="6"/>
      <c r="K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6"/>
      <c r="G97" s="6"/>
      <c r="H97" s="6"/>
      <c r="I97" s="6"/>
      <c r="J97" s="6"/>
      <c r="K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6"/>
      <c r="G98" s="6"/>
      <c r="H98" s="6"/>
      <c r="I98" s="6"/>
      <c r="J98" s="6"/>
      <c r="K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6"/>
      <c r="G99" s="6"/>
      <c r="H99" s="6"/>
      <c r="I99" s="6"/>
      <c r="J99" s="6"/>
      <c r="K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6"/>
      <c r="G107" s="6"/>
      <c r="H107" s="6"/>
      <c r="I107" s="6"/>
      <c r="J107" s="6"/>
      <c r="K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6"/>
      <c r="G108" s="6"/>
      <c r="H108" s="6"/>
      <c r="I108" s="6"/>
      <c r="J108" s="6"/>
      <c r="K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6"/>
      <c r="G109" s="6"/>
      <c r="H109" s="6"/>
      <c r="I109" s="6"/>
      <c r="J109" s="6"/>
      <c r="K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6"/>
      <c r="G110" s="6"/>
      <c r="H110" s="6"/>
      <c r="I110" s="6"/>
      <c r="J110" s="6"/>
      <c r="K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6"/>
      <c r="G111" s="6"/>
      <c r="H111" s="6"/>
      <c r="I111" s="6"/>
      <c r="J111" s="6"/>
      <c r="K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6"/>
      <c r="G112" s="6"/>
      <c r="H112" s="6"/>
      <c r="I112" s="6"/>
      <c r="J112" s="6"/>
      <c r="K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6"/>
      <c r="G113" s="6"/>
      <c r="H113" s="6"/>
      <c r="I113" s="6"/>
      <c r="J113" s="6"/>
      <c r="K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6"/>
      <c r="G114" s="6"/>
      <c r="H114" s="6"/>
      <c r="I114" s="6"/>
      <c r="J114" s="6"/>
      <c r="K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6"/>
      <c r="G115" s="6"/>
      <c r="H115" s="6"/>
      <c r="I115" s="6"/>
      <c r="J115" s="6"/>
      <c r="K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6"/>
      <c r="G116" s="6"/>
      <c r="H116" s="6"/>
      <c r="I116" s="6"/>
      <c r="J116" s="6"/>
      <c r="K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6"/>
      <c r="G117" s="6"/>
      <c r="H117" s="6"/>
      <c r="I117" s="6"/>
      <c r="J117" s="6"/>
      <c r="K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6"/>
      <c r="G118" s="6"/>
      <c r="H118" s="6"/>
      <c r="I118" s="6"/>
      <c r="J118" s="6"/>
      <c r="K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6"/>
      <c r="G119" s="6"/>
      <c r="H119" s="6"/>
      <c r="I119" s="6"/>
      <c r="J119" s="6"/>
      <c r="K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6"/>
      <c r="G120" s="6"/>
      <c r="H120" s="6"/>
      <c r="I120" s="6"/>
      <c r="J120" s="6"/>
      <c r="K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6"/>
      <c r="G121" s="6"/>
      <c r="H121" s="6"/>
      <c r="I121" s="6"/>
      <c r="J121" s="6"/>
      <c r="K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6"/>
      <c r="G122" s="6"/>
      <c r="H122" s="6"/>
      <c r="I122" s="6"/>
      <c r="J122" s="6"/>
      <c r="K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6"/>
      <c r="G123" s="6"/>
      <c r="H123" s="6"/>
      <c r="I123" s="6"/>
      <c r="J123" s="6"/>
      <c r="K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6"/>
      <c r="G124" s="6"/>
      <c r="H124" s="6"/>
      <c r="I124" s="6"/>
      <c r="J124" s="6"/>
      <c r="K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6"/>
      <c r="G125" s="6"/>
      <c r="H125" s="6"/>
      <c r="I125" s="6"/>
      <c r="J125" s="6"/>
      <c r="K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6"/>
      <c r="G126" s="6"/>
      <c r="H126" s="6"/>
      <c r="I126" s="6"/>
      <c r="J126" s="6"/>
      <c r="K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6"/>
      <c r="G127" s="6"/>
      <c r="H127" s="6"/>
      <c r="I127" s="6"/>
      <c r="J127" s="6"/>
      <c r="K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6"/>
      <c r="G128" s="6"/>
      <c r="H128" s="6"/>
      <c r="I128" s="6"/>
      <c r="J128" s="6"/>
      <c r="K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6"/>
      <c r="G129" s="6"/>
      <c r="H129" s="6"/>
      <c r="I129" s="6"/>
      <c r="J129" s="6"/>
      <c r="K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6"/>
      <c r="G130" s="6"/>
      <c r="H130" s="6"/>
      <c r="I130" s="6"/>
      <c r="J130" s="6"/>
      <c r="K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6"/>
      <c r="G131" s="6"/>
      <c r="H131" s="6"/>
      <c r="I131" s="6"/>
      <c r="J131" s="6"/>
      <c r="K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6"/>
      <c r="G132" s="6"/>
      <c r="H132" s="6"/>
      <c r="I132" s="6"/>
      <c r="J132" s="6"/>
      <c r="K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6"/>
      <c r="G133" s="6"/>
      <c r="H133" s="6"/>
      <c r="I133" s="6"/>
      <c r="J133" s="6"/>
      <c r="K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6"/>
      <c r="G134" s="6"/>
      <c r="H134" s="6"/>
      <c r="I134" s="6"/>
      <c r="J134" s="6"/>
      <c r="K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6"/>
      <c r="G135" s="6"/>
      <c r="H135" s="6"/>
      <c r="I135" s="6"/>
      <c r="J135" s="6"/>
      <c r="K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6"/>
      <c r="G136" s="6"/>
      <c r="H136" s="6"/>
      <c r="I136" s="6"/>
      <c r="J136" s="6"/>
      <c r="K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6"/>
      <c r="G137" s="6"/>
      <c r="H137" s="6"/>
      <c r="I137" s="6"/>
      <c r="J137" s="6"/>
      <c r="K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6"/>
      <c r="G138" s="6"/>
      <c r="H138" s="6"/>
      <c r="I138" s="6"/>
      <c r="J138" s="6"/>
      <c r="K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6"/>
      <c r="G139" s="6"/>
      <c r="H139" s="6"/>
      <c r="I139" s="6"/>
      <c r="J139" s="6"/>
      <c r="K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6"/>
      <c r="G140" s="6"/>
      <c r="H140" s="6"/>
      <c r="I140" s="6"/>
      <c r="J140" s="6"/>
      <c r="K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6"/>
      <c r="G141" s="6"/>
      <c r="H141" s="6"/>
      <c r="I141" s="6"/>
      <c r="J141" s="6"/>
      <c r="K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6"/>
      <c r="G142" s="6"/>
      <c r="H142" s="6"/>
      <c r="I142" s="6"/>
      <c r="J142" s="6"/>
      <c r="K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6"/>
      <c r="G143" s="6"/>
      <c r="H143" s="6"/>
      <c r="I143" s="6"/>
      <c r="J143" s="6"/>
      <c r="K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6"/>
      <c r="G144" s="6"/>
      <c r="H144" s="6"/>
      <c r="I144" s="6"/>
      <c r="J144" s="6"/>
      <c r="K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6"/>
      <c r="G145" s="6"/>
      <c r="H145" s="6"/>
      <c r="I145" s="6"/>
      <c r="J145" s="6"/>
      <c r="K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6"/>
      <c r="G146" s="6"/>
      <c r="H146" s="6"/>
      <c r="I146" s="6"/>
      <c r="J146" s="6"/>
      <c r="K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6"/>
      <c r="G147" s="6"/>
      <c r="H147" s="6"/>
      <c r="I147" s="6"/>
      <c r="J147" s="6"/>
      <c r="K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6"/>
      <c r="G148" s="6"/>
      <c r="H148" s="6"/>
      <c r="I148" s="6"/>
      <c r="J148" s="6"/>
      <c r="K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6"/>
      <c r="G149" s="6"/>
      <c r="H149" s="6"/>
      <c r="I149" s="6"/>
      <c r="J149" s="6"/>
      <c r="K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6"/>
      <c r="G150" s="6"/>
      <c r="H150" s="6"/>
      <c r="I150" s="6"/>
      <c r="J150" s="6"/>
      <c r="K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6"/>
      <c r="G151" s="6"/>
      <c r="H151" s="6"/>
      <c r="I151" s="6"/>
      <c r="J151" s="6"/>
      <c r="K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6"/>
      <c r="G152" s="6"/>
      <c r="H152" s="6"/>
      <c r="I152" s="6"/>
      <c r="J152" s="6"/>
      <c r="K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6"/>
      <c r="G153" s="6"/>
      <c r="H153" s="6"/>
      <c r="I153" s="6"/>
      <c r="J153" s="6"/>
      <c r="K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6"/>
      <c r="G154" s="6"/>
      <c r="H154" s="6"/>
      <c r="I154" s="6"/>
      <c r="J154" s="6"/>
      <c r="K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6"/>
      <c r="G155" s="6"/>
      <c r="H155" s="6"/>
      <c r="I155" s="6"/>
      <c r="J155" s="6"/>
      <c r="K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6"/>
      <c r="G156" s="6"/>
      <c r="H156" s="6"/>
      <c r="I156" s="6"/>
      <c r="J156" s="6"/>
      <c r="K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6"/>
      <c r="G157" s="6"/>
      <c r="H157" s="6"/>
      <c r="I157" s="6"/>
      <c r="J157" s="6"/>
      <c r="K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6"/>
      <c r="G158" s="6"/>
      <c r="H158" s="6"/>
      <c r="I158" s="6"/>
      <c r="J158" s="6"/>
      <c r="K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6"/>
      <c r="G159" s="6"/>
      <c r="H159" s="6"/>
      <c r="I159" s="6"/>
      <c r="J159" s="6"/>
      <c r="K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6"/>
      <c r="G160" s="6"/>
      <c r="H160" s="6"/>
      <c r="I160" s="6"/>
      <c r="J160" s="6"/>
      <c r="K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6"/>
      <c r="G161" s="6"/>
      <c r="H161" s="6"/>
      <c r="I161" s="6"/>
      <c r="J161" s="6"/>
      <c r="K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6"/>
      <c r="G162" s="6"/>
      <c r="H162" s="6"/>
      <c r="I162" s="6"/>
      <c r="J162" s="6"/>
      <c r="K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6"/>
      <c r="G163" s="6"/>
      <c r="H163" s="6"/>
      <c r="I163" s="6"/>
      <c r="J163" s="6"/>
      <c r="K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6"/>
      <c r="G164" s="6"/>
      <c r="H164" s="6"/>
      <c r="I164" s="6"/>
      <c r="J164" s="6"/>
      <c r="K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6"/>
      <c r="G165" s="6"/>
      <c r="H165" s="6"/>
      <c r="I165" s="6"/>
      <c r="J165" s="6"/>
      <c r="K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6"/>
      <c r="G166" s="6"/>
      <c r="H166" s="6"/>
      <c r="I166" s="6"/>
      <c r="J166" s="6"/>
      <c r="K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6"/>
      <c r="G167" s="6"/>
      <c r="H167" s="6"/>
      <c r="I167" s="6"/>
      <c r="J167" s="6"/>
      <c r="K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6"/>
      <c r="G168" s="6"/>
      <c r="H168" s="6"/>
      <c r="I168" s="6"/>
      <c r="J168" s="6"/>
      <c r="K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6"/>
      <c r="G169" s="6"/>
      <c r="H169" s="6"/>
      <c r="I169" s="6"/>
      <c r="J169" s="6"/>
      <c r="K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6"/>
      <c r="G170" s="6"/>
      <c r="H170" s="6"/>
      <c r="I170" s="6"/>
      <c r="J170" s="6"/>
      <c r="K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6"/>
      <c r="G171" s="6"/>
      <c r="H171" s="6"/>
      <c r="I171" s="6"/>
      <c r="J171" s="6"/>
      <c r="K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6"/>
      <c r="G172" s="6"/>
      <c r="H172" s="6"/>
      <c r="I172" s="6"/>
      <c r="J172" s="6"/>
      <c r="K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6"/>
      <c r="G173" s="6"/>
      <c r="H173" s="6"/>
      <c r="I173" s="6"/>
      <c r="J173" s="6"/>
      <c r="K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6"/>
      <c r="G174" s="6"/>
      <c r="H174" s="6"/>
      <c r="I174" s="6"/>
      <c r="J174" s="6"/>
      <c r="K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6"/>
      <c r="G175" s="6"/>
      <c r="H175" s="6"/>
      <c r="I175" s="6"/>
      <c r="J175" s="6"/>
      <c r="K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6"/>
      <c r="G176" s="6"/>
      <c r="H176" s="6"/>
      <c r="I176" s="6"/>
      <c r="J176" s="6"/>
      <c r="K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6"/>
      <c r="G177" s="6"/>
      <c r="H177" s="6"/>
      <c r="I177" s="6"/>
      <c r="J177" s="6"/>
      <c r="K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6"/>
      <c r="G178" s="6"/>
      <c r="H178" s="6"/>
      <c r="I178" s="6"/>
      <c r="J178" s="6"/>
      <c r="K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6"/>
      <c r="G179" s="6"/>
      <c r="H179" s="6"/>
      <c r="I179" s="6"/>
      <c r="J179" s="6"/>
      <c r="K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6"/>
      <c r="G180" s="6"/>
      <c r="H180" s="6"/>
      <c r="I180" s="6"/>
      <c r="J180" s="6"/>
      <c r="K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6"/>
      <c r="G181" s="6"/>
      <c r="H181" s="6"/>
      <c r="I181" s="6"/>
      <c r="J181" s="6"/>
      <c r="K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6"/>
      <c r="G182" s="6"/>
      <c r="H182" s="6"/>
      <c r="I182" s="6"/>
      <c r="J182" s="6"/>
      <c r="K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6"/>
      <c r="G183" s="6"/>
      <c r="H183" s="6"/>
      <c r="I183" s="6"/>
      <c r="J183" s="6"/>
      <c r="K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6"/>
      <c r="G184" s="6"/>
      <c r="H184" s="6"/>
      <c r="I184" s="6"/>
      <c r="J184" s="6"/>
      <c r="K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6"/>
      <c r="G185" s="6"/>
      <c r="H185" s="6"/>
      <c r="I185" s="6"/>
      <c r="J185" s="6"/>
      <c r="K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6"/>
      <c r="G186" s="6"/>
      <c r="H186" s="6"/>
      <c r="I186" s="6"/>
      <c r="J186" s="6"/>
      <c r="K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6"/>
      <c r="G187" s="6"/>
      <c r="H187" s="6"/>
      <c r="I187" s="6"/>
      <c r="J187" s="6"/>
      <c r="K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6"/>
      <c r="G188" s="6"/>
      <c r="H188" s="6"/>
      <c r="I188" s="6"/>
      <c r="J188" s="6"/>
      <c r="K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6"/>
      <c r="G189" s="6"/>
      <c r="H189" s="6"/>
      <c r="I189" s="6"/>
      <c r="J189" s="6"/>
      <c r="K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6"/>
      <c r="G190" s="6"/>
      <c r="H190" s="6"/>
      <c r="I190" s="6"/>
      <c r="J190" s="6"/>
      <c r="K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6"/>
      <c r="G191" s="6"/>
      <c r="H191" s="6"/>
      <c r="I191" s="6"/>
      <c r="J191" s="6"/>
      <c r="K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6"/>
      <c r="G192" s="6"/>
      <c r="H192" s="6"/>
      <c r="I192" s="6"/>
      <c r="J192" s="6"/>
      <c r="K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6"/>
      <c r="G193" s="6"/>
      <c r="H193" s="6"/>
      <c r="I193" s="6"/>
      <c r="J193" s="6"/>
      <c r="K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6"/>
      <c r="G194" s="6"/>
      <c r="H194" s="6"/>
      <c r="I194" s="6"/>
      <c r="J194" s="6"/>
      <c r="K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6"/>
      <c r="G195" s="6"/>
      <c r="H195" s="6"/>
      <c r="I195" s="6"/>
      <c r="J195" s="6"/>
      <c r="K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6"/>
      <c r="G196" s="6"/>
      <c r="H196" s="6"/>
      <c r="I196" s="6"/>
      <c r="J196" s="6"/>
      <c r="K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6"/>
      <c r="G197" s="6"/>
      <c r="H197" s="6"/>
      <c r="I197" s="6"/>
      <c r="J197" s="6"/>
      <c r="K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6"/>
      <c r="G198" s="6"/>
      <c r="H198" s="6"/>
      <c r="I198" s="6"/>
      <c r="J198" s="6"/>
      <c r="K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6"/>
      <c r="G199" s="6"/>
      <c r="H199" s="6"/>
      <c r="I199" s="6"/>
      <c r="J199" s="6"/>
      <c r="K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6"/>
      <c r="G200" s="6"/>
      <c r="H200" s="6"/>
      <c r="I200" s="6"/>
      <c r="J200" s="6"/>
      <c r="K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6"/>
      <c r="G201" s="6"/>
      <c r="H201" s="6"/>
      <c r="I201" s="6"/>
      <c r="J201" s="6"/>
      <c r="K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6"/>
      <c r="G202" s="6"/>
      <c r="H202" s="6"/>
      <c r="I202" s="6"/>
      <c r="J202" s="6"/>
      <c r="K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6"/>
      <c r="G203" s="6"/>
      <c r="H203" s="6"/>
      <c r="I203" s="6"/>
      <c r="J203" s="6"/>
      <c r="K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6"/>
      <c r="G204" s="6"/>
      <c r="H204" s="6"/>
      <c r="I204" s="6"/>
      <c r="J204" s="6"/>
      <c r="K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6"/>
      <c r="G205" s="6"/>
      <c r="H205" s="6"/>
      <c r="I205" s="6"/>
      <c r="J205" s="6"/>
      <c r="K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6"/>
      <c r="G206" s="6"/>
      <c r="H206" s="6"/>
      <c r="I206" s="6"/>
      <c r="J206" s="6"/>
      <c r="K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6"/>
      <c r="G207" s="6"/>
      <c r="H207" s="6"/>
      <c r="I207" s="6"/>
      <c r="J207" s="6"/>
      <c r="K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6"/>
      <c r="G208" s="6"/>
      <c r="H208" s="6"/>
      <c r="I208" s="6"/>
      <c r="J208" s="6"/>
      <c r="K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6"/>
      <c r="G209" s="6"/>
      <c r="H209" s="6"/>
      <c r="I209" s="6"/>
      <c r="J209" s="6"/>
      <c r="K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6"/>
      <c r="G210" s="6"/>
      <c r="H210" s="6"/>
      <c r="I210" s="6"/>
      <c r="J210" s="6"/>
      <c r="K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6"/>
      <c r="G211" s="6"/>
      <c r="H211" s="6"/>
      <c r="I211" s="6"/>
      <c r="J211" s="6"/>
      <c r="K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6"/>
      <c r="G212" s="6"/>
      <c r="H212" s="6"/>
      <c r="I212" s="6"/>
      <c r="J212" s="6"/>
      <c r="K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6"/>
      <c r="G213" s="6"/>
      <c r="H213" s="6"/>
      <c r="I213" s="6"/>
      <c r="J213" s="6"/>
      <c r="K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6"/>
      <c r="G214" s="6"/>
      <c r="H214" s="6"/>
      <c r="I214" s="6"/>
      <c r="J214" s="6"/>
      <c r="K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6"/>
      <c r="G215" s="6"/>
      <c r="H215" s="6"/>
      <c r="I215" s="6"/>
      <c r="J215" s="6"/>
      <c r="K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6"/>
      <c r="G216" s="6"/>
      <c r="H216" s="6"/>
      <c r="I216" s="6"/>
      <c r="J216" s="6"/>
      <c r="K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6"/>
      <c r="G217" s="6"/>
      <c r="H217" s="6"/>
      <c r="I217" s="6"/>
      <c r="J217" s="6"/>
      <c r="K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6"/>
      <c r="G218" s="6"/>
      <c r="H218" s="6"/>
      <c r="I218" s="6"/>
      <c r="J218" s="6"/>
      <c r="K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6"/>
      <c r="G219" s="6"/>
      <c r="H219" s="6"/>
      <c r="I219" s="6"/>
      <c r="J219" s="6"/>
      <c r="K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6"/>
      <c r="G220" s="6"/>
      <c r="H220" s="6"/>
      <c r="I220" s="6"/>
      <c r="J220" s="6"/>
      <c r="K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6"/>
      <c r="G221" s="6"/>
      <c r="H221" s="6"/>
      <c r="I221" s="6"/>
      <c r="J221" s="6"/>
      <c r="K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6"/>
      <c r="G222" s="6"/>
      <c r="H222" s="6"/>
      <c r="I222" s="6"/>
      <c r="J222" s="6"/>
      <c r="K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6"/>
      <c r="G223" s="6"/>
      <c r="H223" s="6"/>
      <c r="I223" s="6"/>
      <c r="J223" s="6"/>
      <c r="K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6"/>
      <c r="G224" s="6"/>
      <c r="H224" s="6"/>
      <c r="I224" s="6"/>
      <c r="J224" s="6"/>
      <c r="K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6"/>
      <c r="G225" s="6"/>
      <c r="H225" s="6"/>
      <c r="I225" s="6"/>
      <c r="J225" s="6"/>
      <c r="K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6"/>
      <c r="G226" s="6"/>
      <c r="H226" s="6"/>
      <c r="I226" s="6"/>
      <c r="J226" s="6"/>
      <c r="K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6"/>
      <c r="G227" s="6"/>
      <c r="H227" s="6"/>
      <c r="I227" s="6"/>
      <c r="J227" s="6"/>
      <c r="K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6"/>
      <c r="G228" s="6"/>
      <c r="H228" s="6"/>
      <c r="I228" s="6"/>
      <c r="J228" s="6"/>
      <c r="K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6"/>
      <c r="G229" s="6"/>
      <c r="H229" s="6"/>
      <c r="I229" s="6"/>
      <c r="J229" s="6"/>
      <c r="K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6"/>
      <c r="G230" s="6"/>
      <c r="H230" s="6"/>
      <c r="I230" s="6"/>
      <c r="J230" s="6"/>
      <c r="K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6"/>
      <c r="G231" s="6"/>
      <c r="H231" s="6"/>
      <c r="I231" s="6"/>
      <c r="J231" s="6"/>
      <c r="K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6"/>
      <c r="G232" s="6"/>
      <c r="H232" s="6"/>
      <c r="I232" s="6"/>
      <c r="J232" s="6"/>
      <c r="K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6"/>
      <c r="G233" s="6"/>
      <c r="H233" s="6"/>
      <c r="I233" s="6"/>
      <c r="J233" s="6"/>
      <c r="K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6"/>
      <c r="G234" s="6"/>
      <c r="H234" s="6"/>
      <c r="I234" s="6"/>
      <c r="J234" s="6"/>
      <c r="K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6"/>
      <c r="G235" s="6"/>
      <c r="H235" s="6"/>
      <c r="I235" s="6"/>
      <c r="J235" s="6"/>
      <c r="K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6"/>
      <c r="G236" s="6"/>
      <c r="H236" s="6"/>
      <c r="I236" s="6"/>
      <c r="J236" s="6"/>
      <c r="K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6"/>
      <c r="G237" s="6"/>
      <c r="H237" s="6"/>
      <c r="I237" s="6"/>
      <c r="J237" s="6"/>
      <c r="K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6"/>
      <c r="G238" s="6"/>
      <c r="H238" s="6"/>
      <c r="I238" s="6"/>
      <c r="J238" s="6"/>
      <c r="K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6"/>
      <c r="G239" s="6"/>
      <c r="H239" s="6"/>
      <c r="I239" s="6"/>
      <c r="J239" s="6"/>
      <c r="K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6"/>
      <c r="G240" s="6"/>
      <c r="H240" s="6"/>
      <c r="I240" s="6"/>
      <c r="J240" s="6"/>
      <c r="K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6"/>
      <c r="G241" s="6"/>
      <c r="H241" s="6"/>
      <c r="I241" s="6"/>
      <c r="J241" s="6"/>
      <c r="K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6"/>
      <c r="G242" s="6"/>
      <c r="H242" s="6"/>
      <c r="I242" s="6"/>
      <c r="J242" s="6"/>
      <c r="K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6"/>
      <c r="G243" s="6"/>
      <c r="H243" s="6"/>
      <c r="I243" s="6"/>
      <c r="J243" s="6"/>
      <c r="K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6"/>
      <c r="G244" s="6"/>
      <c r="H244" s="6"/>
      <c r="I244" s="6"/>
      <c r="J244" s="6"/>
      <c r="K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6"/>
      <c r="G245" s="6"/>
      <c r="H245" s="6"/>
      <c r="I245" s="6"/>
      <c r="J245" s="6"/>
      <c r="K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6"/>
      <c r="G246" s="6"/>
      <c r="H246" s="6"/>
      <c r="I246" s="6"/>
      <c r="J246" s="6"/>
      <c r="K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6"/>
      <c r="G247" s="6"/>
      <c r="H247" s="6"/>
      <c r="I247" s="6"/>
      <c r="J247" s="6"/>
      <c r="K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6"/>
      <c r="G248" s="6"/>
      <c r="H248" s="6"/>
      <c r="I248" s="6"/>
      <c r="J248" s="6"/>
      <c r="K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6"/>
      <c r="G249" s="6"/>
      <c r="H249" s="6"/>
      <c r="I249" s="6"/>
      <c r="J249" s="6"/>
      <c r="K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6"/>
      <c r="G250" s="6"/>
      <c r="H250" s="6"/>
      <c r="I250" s="6"/>
      <c r="J250" s="6"/>
      <c r="K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6"/>
      <c r="G251" s="6"/>
      <c r="H251" s="6"/>
      <c r="I251" s="6"/>
      <c r="J251" s="6"/>
      <c r="K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6"/>
      <c r="G252" s="6"/>
      <c r="H252" s="6"/>
      <c r="I252" s="6"/>
      <c r="J252" s="6"/>
      <c r="K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6"/>
      <c r="G253" s="6"/>
      <c r="H253" s="6"/>
      <c r="I253" s="6"/>
      <c r="J253" s="6"/>
      <c r="K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6"/>
      <c r="G254" s="6"/>
      <c r="H254" s="6"/>
      <c r="I254" s="6"/>
      <c r="J254" s="6"/>
      <c r="K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6"/>
      <c r="G255" s="6"/>
      <c r="H255" s="6"/>
      <c r="I255" s="6"/>
      <c r="J255" s="6"/>
      <c r="K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6"/>
      <c r="G256" s="6"/>
      <c r="H256" s="6"/>
      <c r="I256" s="6"/>
      <c r="J256" s="6"/>
      <c r="K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6"/>
      <c r="G257" s="6"/>
      <c r="H257" s="6"/>
      <c r="I257" s="6"/>
      <c r="J257" s="6"/>
      <c r="K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6"/>
      <c r="G258" s="6"/>
      <c r="H258" s="6"/>
      <c r="I258" s="6"/>
      <c r="J258" s="6"/>
      <c r="K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6"/>
      <c r="G259" s="6"/>
      <c r="H259" s="6"/>
      <c r="I259" s="6"/>
      <c r="J259" s="6"/>
      <c r="K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6"/>
      <c r="G260" s="6"/>
      <c r="H260" s="6"/>
      <c r="I260" s="6"/>
      <c r="J260" s="6"/>
      <c r="K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6"/>
      <c r="G261" s="6"/>
      <c r="H261" s="6"/>
      <c r="I261" s="6"/>
      <c r="J261" s="6"/>
      <c r="K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6"/>
      <c r="G262" s="6"/>
      <c r="H262" s="6"/>
      <c r="I262" s="6"/>
      <c r="J262" s="6"/>
      <c r="K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6"/>
      <c r="G263" s="6"/>
      <c r="H263" s="6"/>
      <c r="I263" s="6"/>
      <c r="J263" s="6"/>
      <c r="K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6"/>
      <c r="G264" s="6"/>
      <c r="H264" s="6"/>
      <c r="I264" s="6"/>
      <c r="J264" s="6"/>
      <c r="K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6"/>
      <c r="G265" s="6"/>
      <c r="H265" s="6"/>
      <c r="I265" s="6"/>
      <c r="J265" s="6"/>
      <c r="K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6"/>
      <c r="G266" s="6"/>
      <c r="H266" s="6"/>
      <c r="I266" s="6"/>
      <c r="J266" s="6"/>
      <c r="K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6"/>
      <c r="G267" s="6"/>
      <c r="H267" s="6"/>
      <c r="I267" s="6"/>
      <c r="J267" s="6"/>
      <c r="K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6"/>
      <c r="G268" s="6"/>
      <c r="H268" s="6"/>
      <c r="I268" s="6"/>
      <c r="J268" s="6"/>
      <c r="K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6"/>
      <c r="G269" s="6"/>
      <c r="H269" s="6"/>
      <c r="I269" s="6"/>
      <c r="J269" s="6"/>
      <c r="K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6"/>
      <c r="G270" s="6"/>
      <c r="H270" s="6"/>
      <c r="I270" s="6"/>
      <c r="J270" s="6"/>
      <c r="K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6"/>
      <c r="G271" s="6"/>
      <c r="H271" s="6"/>
      <c r="I271" s="6"/>
      <c r="J271" s="6"/>
      <c r="K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6"/>
      <c r="G272" s="6"/>
      <c r="H272" s="6"/>
      <c r="I272" s="6"/>
      <c r="J272" s="6"/>
      <c r="K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6"/>
      <c r="G273" s="6"/>
      <c r="H273" s="6"/>
      <c r="I273" s="6"/>
      <c r="J273" s="6"/>
      <c r="K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6"/>
      <c r="G274" s="6"/>
      <c r="H274" s="6"/>
      <c r="I274" s="6"/>
      <c r="J274" s="6"/>
      <c r="K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6"/>
      <c r="G275" s="6"/>
      <c r="H275" s="6"/>
      <c r="I275" s="6"/>
      <c r="J275" s="6"/>
      <c r="K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6"/>
      <c r="G276" s="6"/>
      <c r="H276" s="6"/>
      <c r="I276" s="6"/>
      <c r="J276" s="6"/>
      <c r="K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6"/>
      <c r="G277" s="6"/>
      <c r="H277" s="6"/>
      <c r="I277" s="6"/>
      <c r="J277" s="6"/>
      <c r="K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6"/>
      <c r="G278" s="6"/>
      <c r="H278" s="6"/>
      <c r="I278" s="6"/>
      <c r="J278" s="6"/>
      <c r="K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6"/>
      <c r="G279" s="6"/>
      <c r="H279" s="6"/>
      <c r="I279" s="6"/>
      <c r="J279" s="6"/>
      <c r="K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6"/>
      <c r="G280" s="6"/>
      <c r="H280" s="6"/>
      <c r="I280" s="6"/>
      <c r="J280" s="6"/>
      <c r="K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6"/>
      <c r="G281" s="6"/>
      <c r="H281" s="6"/>
      <c r="I281" s="6"/>
      <c r="J281" s="6"/>
      <c r="K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6"/>
      <c r="G282" s="6"/>
      <c r="H282" s="6"/>
      <c r="I282" s="6"/>
      <c r="J282" s="6"/>
      <c r="K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6"/>
      <c r="G283" s="6"/>
      <c r="H283" s="6"/>
      <c r="I283" s="6"/>
      <c r="J283" s="6"/>
      <c r="K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6"/>
      <c r="G284" s="6"/>
      <c r="H284" s="6"/>
      <c r="I284" s="6"/>
      <c r="J284" s="6"/>
      <c r="K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6"/>
      <c r="G285" s="6"/>
      <c r="H285" s="6"/>
      <c r="I285" s="6"/>
      <c r="J285" s="6"/>
      <c r="K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6"/>
      <c r="G286" s="6"/>
      <c r="H286" s="6"/>
      <c r="I286" s="6"/>
      <c r="J286" s="6"/>
      <c r="K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6"/>
      <c r="G287" s="6"/>
      <c r="H287" s="6"/>
      <c r="I287" s="6"/>
      <c r="J287" s="6"/>
      <c r="K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6"/>
      <c r="G288" s="6"/>
      <c r="H288" s="6"/>
      <c r="I288" s="6"/>
      <c r="J288" s="6"/>
      <c r="K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6"/>
      <c r="G289" s="6"/>
      <c r="H289" s="6"/>
      <c r="I289" s="6"/>
      <c r="J289" s="6"/>
      <c r="K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6"/>
      <c r="G290" s="6"/>
      <c r="H290" s="6"/>
      <c r="I290" s="6"/>
      <c r="J290" s="6"/>
      <c r="K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6"/>
      <c r="G291" s="6"/>
      <c r="H291" s="6"/>
      <c r="I291" s="6"/>
      <c r="J291" s="6"/>
      <c r="K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6"/>
      <c r="G292" s="6"/>
      <c r="H292" s="6"/>
      <c r="I292" s="6"/>
      <c r="J292" s="6"/>
      <c r="K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6"/>
      <c r="G293" s="6"/>
      <c r="H293" s="6"/>
      <c r="I293" s="6"/>
      <c r="J293" s="6"/>
      <c r="K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6"/>
      <c r="G294" s="6"/>
      <c r="H294" s="6"/>
      <c r="I294" s="6"/>
      <c r="J294" s="6"/>
      <c r="K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6"/>
      <c r="G295" s="6"/>
      <c r="H295" s="6"/>
      <c r="I295" s="6"/>
      <c r="J295" s="6"/>
      <c r="K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6"/>
      <c r="G296" s="6"/>
      <c r="H296" s="6"/>
      <c r="I296" s="6"/>
      <c r="J296" s="6"/>
      <c r="K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6"/>
      <c r="G297" s="6"/>
      <c r="H297" s="6"/>
      <c r="I297" s="6"/>
      <c r="J297" s="6"/>
      <c r="K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6"/>
      <c r="G298" s="6"/>
      <c r="H298" s="6"/>
      <c r="I298" s="6"/>
      <c r="J298" s="6"/>
      <c r="K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6"/>
      <c r="G299" s="6"/>
      <c r="H299" s="6"/>
      <c r="I299" s="6"/>
      <c r="J299" s="6"/>
      <c r="K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6"/>
      <c r="G300" s="6"/>
      <c r="H300" s="6"/>
      <c r="I300" s="6"/>
      <c r="J300" s="6"/>
      <c r="K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6"/>
      <c r="G301" s="6"/>
      <c r="H301" s="6"/>
      <c r="I301" s="6"/>
      <c r="J301" s="6"/>
      <c r="K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6"/>
      <c r="G302" s="6"/>
      <c r="H302" s="6"/>
      <c r="I302" s="6"/>
      <c r="J302" s="6"/>
      <c r="K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F303" s="6"/>
      <c r="G303" s="6"/>
      <c r="H303" s="6"/>
      <c r="I303" s="6"/>
      <c r="J303" s="6"/>
      <c r="K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F304" s="6"/>
      <c r="G304" s="6"/>
      <c r="H304" s="6"/>
      <c r="I304" s="6"/>
      <c r="J304" s="6"/>
      <c r="K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F305" s="6"/>
      <c r="G305" s="6"/>
      <c r="H305" s="6"/>
      <c r="I305" s="6"/>
      <c r="J305" s="6"/>
      <c r="K305" s="5"/>
    </row>
    <row r="306" customFormat="false" ht="15" hidden="false" customHeight="false" outlineLevel="0" collapsed="false">
      <c r="A306" s="5"/>
      <c r="B306" s="5"/>
      <c r="C306" s="5"/>
      <c r="D306" s="5"/>
      <c r="E306" s="5"/>
      <c r="F306" s="6"/>
      <c r="G306" s="6"/>
      <c r="H306" s="6"/>
      <c r="I306" s="6"/>
      <c r="J306" s="6"/>
      <c r="K306" s="5"/>
    </row>
    <row r="307" customFormat="false" ht="15" hidden="false" customHeight="false" outlineLevel="0" collapsed="false">
      <c r="A307" s="5"/>
      <c r="B307" s="5"/>
      <c r="C307" s="5"/>
      <c r="D307" s="5"/>
      <c r="E307" s="5"/>
      <c r="F307" s="6"/>
      <c r="G307" s="6"/>
      <c r="H307" s="6"/>
      <c r="I307" s="6"/>
      <c r="J307" s="6"/>
      <c r="K307" s="5"/>
    </row>
    <row r="308" customFormat="false" ht="15" hidden="false" customHeight="false" outlineLevel="0" collapsed="false">
      <c r="A308" s="5"/>
      <c r="B308" s="5"/>
      <c r="C308" s="5"/>
      <c r="D308" s="5"/>
      <c r="E308" s="5"/>
      <c r="F308" s="6"/>
      <c r="G308" s="6"/>
      <c r="H308" s="6"/>
      <c r="I308" s="6"/>
      <c r="J308" s="6"/>
      <c r="K308" s="5"/>
    </row>
    <row r="309" customFormat="false" ht="15" hidden="false" customHeight="false" outlineLevel="0" collapsed="false">
      <c r="A309" s="5"/>
      <c r="B309" s="5"/>
      <c r="C309" s="5"/>
      <c r="D309" s="5"/>
      <c r="E309" s="5"/>
      <c r="F309" s="6"/>
      <c r="G309" s="6"/>
      <c r="H309" s="6"/>
      <c r="I309" s="6"/>
      <c r="J309" s="6"/>
      <c r="K309" s="5"/>
    </row>
    <row r="310" customFormat="false" ht="15" hidden="false" customHeight="false" outlineLevel="0" collapsed="false">
      <c r="A310" s="5"/>
      <c r="B310" s="5"/>
      <c r="C310" s="5"/>
      <c r="D310" s="5"/>
      <c r="E310" s="5"/>
      <c r="F310" s="6"/>
      <c r="G310" s="6"/>
      <c r="H310" s="6"/>
      <c r="I310" s="6"/>
      <c r="J310" s="6"/>
      <c r="K310" s="5"/>
    </row>
    <row r="311" customFormat="false" ht="15" hidden="false" customHeight="false" outlineLevel="0" collapsed="false">
      <c r="A311" s="5"/>
      <c r="B311" s="5"/>
      <c r="C311" s="5"/>
      <c r="D311" s="5"/>
      <c r="E311" s="5"/>
      <c r="F311" s="6"/>
      <c r="G311" s="6"/>
      <c r="H311" s="6"/>
      <c r="I311" s="6"/>
      <c r="J311" s="6"/>
      <c r="K311" s="5"/>
    </row>
    <row r="312" customFormat="false" ht="15" hidden="false" customHeight="false" outlineLevel="0" collapsed="false">
      <c r="A312" s="5"/>
      <c r="B312" s="5"/>
      <c r="C312" s="5"/>
      <c r="D312" s="5"/>
      <c r="E312" s="5"/>
      <c r="F312" s="6"/>
      <c r="G312" s="6"/>
      <c r="H312" s="6"/>
      <c r="I312" s="6"/>
      <c r="J312" s="6"/>
      <c r="K312" s="5"/>
    </row>
    <row r="313" customFormat="false" ht="15" hidden="false" customHeight="false" outlineLevel="0" collapsed="false">
      <c r="A313" s="5"/>
      <c r="B313" s="5"/>
      <c r="C313" s="5"/>
      <c r="D313" s="5"/>
      <c r="E313" s="5"/>
      <c r="F313" s="6"/>
      <c r="G313" s="6"/>
      <c r="H313" s="6"/>
      <c r="I313" s="6"/>
      <c r="J313" s="6"/>
      <c r="K313" s="5"/>
    </row>
    <row r="314" customFormat="false" ht="15" hidden="false" customHeight="false" outlineLevel="0" collapsed="false">
      <c r="A314" s="5"/>
      <c r="B314" s="5"/>
      <c r="C314" s="5"/>
      <c r="D314" s="5"/>
      <c r="E314" s="5"/>
      <c r="F314" s="6"/>
      <c r="G314" s="6"/>
      <c r="H314" s="6"/>
      <c r="I314" s="6"/>
      <c r="J314" s="6"/>
      <c r="K314" s="5"/>
    </row>
    <row r="315" customFormat="false" ht="15" hidden="false" customHeight="false" outlineLevel="0" collapsed="false">
      <c r="A315" s="5"/>
      <c r="B315" s="5"/>
      <c r="C315" s="5"/>
      <c r="D315" s="5"/>
      <c r="E315" s="5"/>
      <c r="F315" s="6"/>
      <c r="G315" s="6"/>
      <c r="H315" s="6"/>
      <c r="I315" s="6"/>
      <c r="J315" s="6"/>
      <c r="K315" s="5"/>
    </row>
    <row r="316" customFormat="false" ht="15" hidden="false" customHeight="false" outlineLevel="0" collapsed="false">
      <c r="A316" s="5"/>
      <c r="B316" s="5"/>
      <c r="C316" s="5"/>
      <c r="D316" s="5"/>
      <c r="E316" s="5"/>
      <c r="F316" s="6"/>
      <c r="G316" s="6"/>
      <c r="H316" s="6"/>
      <c r="I316" s="6"/>
      <c r="J316" s="6"/>
      <c r="K316" s="5"/>
    </row>
    <row r="317" customFormat="false" ht="15" hidden="false" customHeight="false" outlineLevel="0" collapsed="false">
      <c r="A317" s="5"/>
      <c r="B317" s="5"/>
      <c r="C317" s="5"/>
      <c r="D317" s="5"/>
      <c r="E317" s="5"/>
      <c r="F317" s="6"/>
      <c r="G317" s="6"/>
      <c r="H317" s="6"/>
      <c r="I317" s="6"/>
      <c r="J317" s="6"/>
      <c r="K317" s="5"/>
    </row>
    <row r="318" customFormat="false" ht="15" hidden="false" customHeight="false" outlineLevel="0" collapsed="false">
      <c r="A318" s="5"/>
      <c r="B318" s="5"/>
      <c r="C318" s="5"/>
      <c r="D318" s="5"/>
      <c r="E318" s="5"/>
      <c r="F318" s="6"/>
      <c r="G318" s="6"/>
      <c r="H318" s="6"/>
      <c r="I318" s="6"/>
      <c r="J318" s="6"/>
      <c r="K318" s="5"/>
    </row>
    <row r="319" customFormat="false" ht="15" hidden="false" customHeight="false" outlineLevel="0" collapsed="false">
      <c r="A319" s="5"/>
      <c r="B319" s="5"/>
      <c r="C319" s="5"/>
      <c r="D319" s="5"/>
      <c r="E319" s="5"/>
      <c r="F319" s="6"/>
      <c r="G319" s="6"/>
      <c r="H319" s="6"/>
      <c r="I319" s="6"/>
      <c r="J319" s="6"/>
      <c r="K319" s="5"/>
    </row>
    <row r="320" customFormat="false" ht="15" hidden="false" customHeight="false" outlineLevel="0" collapsed="false">
      <c r="A320" s="5"/>
      <c r="B320" s="5"/>
      <c r="C320" s="5"/>
      <c r="D320" s="5"/>
      <c r="E320" s="5"/>
      <c r="F320" s="6"/>
      <c r="G320" s="6"/>
      <c r="H320" s="6"/>
      <c r="I320" s="6"/>
      <c r="J320" s="6"/>
      <c r="K320" s="5"/>
    </row>
    <row r="321" customFormat="false" ht="15" hidden="false" customHeight="false" outlineLevel="0" collapsed="false">
      <c r="A321" s="5"/>
      <c r="B321" s="5"/>
      <c r="C321" s="5"/>
      <c r="D321" s="5"/>
      <c r="E321" s="5"/>
      <c r="F321" s="6"/>
      <c r="G321" s="6"/>
      <c r="H321" s="6"/>
      <c r="I321" s="6"/>
      <c r="J321" s="6"/>
      <c r="K321" s="5"/>
    </row>
    <row r="322" customFormat="false" ht="15" hidden="false" customHeight="false" outlineLevel="0" collapsed="false">
      <c r="A322" s="5"/>
      <c r="B322" s="5"/>
      <c r="C322" s="5"/>
      <c r="D322" s="5"/>
      <c r="E322" s="5"/>
      <c r="F322" s="6"/>
      <c r="G322" s="6"/>
      <c r="H322" s="6"/>
      <c r="I322" s="6"/>
      <c r="J322" s="6"/>
      <c r="K322" s="5"/>
    </row>
    <row r="323" customFormat="false" ht="15" hidden="false" customHeight="false" outlineLevel="0" collapsed="false">
      <c r="A323" s="5"/>
      <c r="B323" s="5"/>
      <c r="C323" s="5"/>
      <c r="D323" s="5"/>
      <c r="E323" s="5"/>
      <c r="F323" s="6"/>
      <c r="G323" s="6"/>
      <c r="H323" s="6"/>
      <c r="I323" s="6"/>
      <c r="J323" s="6"/>
      <c r="K323" s="5"/>
    </row>
    <row r="324" customFormat="false" ht="15" hidden="false" customHeight="false" outlineLevel="0" collapsed="false">
      <c r="A324" s="5"/>
      <c r="B324" s="5"/>
      <c r="C324" s="5"/>
      <c r="D324" s="5"/>
      <c r="E324" s="5"/>
      <c r="F324" s="6"/>
      <c r="G324" s="6"/>
      <c r="H324" s="6"/>
      <c r="I324" s="6"/>
      <c r="J324" s="6"/>
      <c r="K324" s="5"/>
    </row>
    <row r="325" customFormat="false" ht="15" hidden="false" customHeight="false" outlineLevel="0" collapsed="false">
      <c r="A325" s="5"/>
      <c r="B325" s="5"/>
      <c r="C325" s="5"/>
      <c r="D325" s="5"/>
      <c r="E325" s="5"/>
      <c r="F325" s="6"/>
      <c r="G325" s="6"/>
      <c r="H325" s="6"/>
      <c r="I325" s="6"/>
      <c r="J325" s="6"/>
      <c r="K325" s="5"/>
    </row>
    <row r="326" customFormat="false" ht="15" hidden="false" customHeight="false" outlineLevel="0" collapsed="false">
      <c r="A326" s="5"/>
      <c r="B326" s="5"/>
      <c r="C326" s="5"/>
      <c r="D326" s="5"/>
      <c r="E326" s="5"/>
      <c r="F326" s="6"/>
      <c r="G326" s="6"/>
      <c r="H326" s="6"/>
      <c r="I326" s="6"/>
      <c r="J326" s="6"/>
      <c r="K326" s="5"/>
    </row>
    <row r="327" customFormat="false" ht="15" hidden="false" customHeight="false" outlineLevel="0" collapsed="false">
      <c r="A327" s="5"/>
      <c r="B327" s="5"/>
      <c r="C327" s="5"/>
      <c r="D327" s="5"/>
      <c r="E327" s="5"/>
      <c r="F327" s="6"/>
      <c r="G327" s="6"/>
      <c r="H327" s="6"/>
      <c r="I327" s="6"/>
      <c r="J327" s="6"/>
      <c r="K327" s="5"/>
    </row>
    <row r="328" customFormat="false" ht="15" hidden="false" customHeight="false" outlineLevel="0" collapsed="false">
      <c r="A328" s="5"/>
      <c r="B328" s="5"/>
      <c r="C328" s="5"/>
      <c r="D328" s="5"/>
      <c r="E328" s="5"/>
      <c r="F328" s="6"/>
      <c r="G328" s="6"/>
      <c r="H328" s="6"/>
      <c r="I328" s="6"/>
      <c r="J328" s="6"/>
      <c r="K328" s="5"/>
    </row>
    <row r="329" customFormat="false" ht="15" hidden="false" customHeight="false" outlineLevel="0" collapsed="false">
      <c r="A329" s="5"/>
      <c r="B329" s="5"/>
      <c r="C329" s="5"/>
      <c r="D329" s="5"/>
      <c r="E329" s="5"/>
      <c r="F329" s="6"/>
      <c r="G329" s="6"/>
      <c r="H329" s="6"/>
      <c r="I329" s="6"/>
      <c r="J329" s="6"/>
      <c r="K329" s="5"/>
    </row>
    <row r="330" customFormat="false" ht="15" hidden="false" customHeight="false" outlineLevel="0" collapsed="false">
      <c r="A330" s="5"/>
      <c r="B330" s="5"/>
      <c r="C330" s="5"/>
      <c r="D330" s="5"/>
      <c r="E330" s="5"/>
      <c r="F330" s="6"/>
      <c r="G330" s="6"/>
      <c r="H330" s="6"/>
      <c r="I330" s="6"/>
      <c r="J330" s="6"/>
      <c r="K330" s="5"/>
    </row>
    <row r="331" customFormat="false" ht="15" hidden="false" customHeight="false" outlineLevel="0" collapsed="false">
      <c r="A331" s="5"/>
      <c r="B331" s="5"/>
      <c r="C331" s="5"/>
      <c r="D331" s="5"/>
      <c r="E331" s="5"/>
      <c r="F331" s="6"/>
      <c r="G331" s="6"/>
      <c r="H331" s="6"/>
      <c r="I331" s="6"/>
      <c r="J331" s="6"/>
      <c r="K331" s="5"/>
    </row>
    <row r="332" customFormat="false" ht="15" hidden="false" customHeight="false" outlineLevel="0" collapsed="false">
      <c r="A332" s="5"/>
      <c r="B332" s="5"/>
      <c r="C332" s="5"/>
      <c r="D332" s="5"/>
      <c r="E332" s="5"/>
      <c r="F332" s="6"/>
      <c r="G332" s="6"/>
      <c r="H332" s="6"/>
      <c r="I332" s="6"/>
      <c r="J332" s="6"/>
      <c r="K332" s="5"/>
    </row>
    <row r="333" customFormat="false" ht="15" hidden="false" customHeight="false" outlineLevel="0" collapsed="false">
      <c r="A333" s="5"/>
      <c r="B333" s="5"/>
      <c r="C333" s="5"/>
      <c r="D333" s="5"/>
      <c r="E333" s="5"/>
      <c r="F333" s="6"/>
      <c r="G333" s="6"/>
      <c r="H333" s="6"/>
      <c r="I333" s="6"/>
      <c r="J333" s="6"/>
      <c r="K333" s="5"/>
    </row>
    <row r="334" customFormat="false" ht="15" hidden="false" customHeight="false" outlineLevel="0" collapsed="false">
      <c r="A334" s="5"/>
      <c r="B334" s="5"/>
      <c r="C334" s="5"/>
      <c r="D334" s="5"/>
      <c r="E334" s="5"/>
      <c r="F334" s="6"/>
      <c r="G334" s="6"/>
      <c r="H334" s="6"/>
      <c r="I334" s="6"/>
      <c r="J334" s="6"/>
      <c r="K334" s="5"/>
    </row>
    <row r="335" customFormat="false" ht="15" hidden="false" customHeight="false" outlineLevel="0" collapsed="false">
      <c r="A335" s="5"/>
      <c r="B335" s="5"/>
      <c r="C335" s="5"/>
      <c r="D335" s="5"/>
      <c r="E335" s="5"/>
      <c r="F335" s="6"/>
      <c r="G335" s="6"/>
      <c r="H335" s="6"/>
      <c r="I335" s="6"/>
      <c r="J335" s="6"/>
      <c r="K335" s="5"/>
    </row>
    <row r="336" customFormat="false" ht="15" hidden="false" customHeight="false" outlineLevel="0" collapsed="false">
      <c r="A336" s="5"/>
      <c r="B336" s="5"/>
      <c r="C336" s="5"/>
      <c r="D336" s="5"/>
      <c r="E336" s="5"/>
      <c r="F336" s="6"/>
      <c r="G336" s="6"/>
      <c r="H336" s="6"/>
      <c r="I336" s="6"/>
      <c r="J336" s="6"/>
      <c r="K336" s="5"/>
    </row>
    <row r="337" customFormat="false" ht="15" hidden="false" customHeight="false" outlineLevel="0" collapsed="false">
      <c r="A337" s="5"/>
      <c r="B337" s="5"/>
      <c r="C337" s="5"/>
      <c r="D337" s="5"/>
      <c r="E337" s="5"/>
      <c r="F337" s="6"/>
      <c r="G337" s="6"/>
      <c r="H337" s="6"/>
      <c r="I337" s="6"/>
      <c r="J337" s="6"/>
      <c r="K337" s="5"/>
    </row>
    <row r="338" customFormat="false" ht="15" hidden="false" customHeight="false" outlineLevel="0" collapsed="false">
      <c r="A338" s="5"/>
      <c r="B338" s="5"/>
      <c r="C338" s="5"/>
      <c r="D338" s="5"/>
      <c r="E338" s="5"/>
      <c r="F338" s="6"/>
      <c r="G338" s="6"/>
      <c r="H338" s="6"/>
      <c r="I338" s="6"/>
      <c r="J338" s="6"/>
      <c r="K338" s="5"/>
    </row>
    <row r="339" customFormat="false" ht="15" hidden="false" customHeight="false" outlineLevel="0" collapsed="false">
      <c r="A339" s="5"/>
      <c r="B339" s="5"/>
      <c r="C339" s="5"/>
      <c r="D339" s="5"/>
      <c r="E339" s="5"/>
      <c r="F339" s="6"/>
      <c r="G339" s="6"/>
      <c r="H339" s="6"/>
      <c r="I339" s="6"/>
      <c r="J339" s="6"/>
      <c r="K339" s="5"/>
    </row>
    <row r="340" customFormat="false" ht="15" hidden="false" customHeight="false" outlineLevel="0" collapsed="false">
      <c r="A340" s="5"/>
      <c r="B340" s="5"/>
      <c r="C340" s="5"/>
      <c r="D340" s="5"/>
      <c r="E340" s="5"/>
      <c r="F340" s="6"/>
      <c r="G340" s="6"/>
      <c r="H340" s="6"/>
      <c r="I340" s="6"/>
      <c r="J340" s="6"/>
      <c r="K340" s="5"/>
    </row>
    <row r="341" customFormat="false" ht="15" hidden="false" customHeight="false" outlineLevel="0" collapsed="false">
      <c r="A341" s="5"/>
      <c r="B341" s="5"/>
      <c r="C341" s="5"/>
      <c r="D341" s="5"/>
      <c r="E341" s="5"/>
      <c r="F341" s="6"/>
      <c r="G341" s="6"/>
      <c r="H341" s="6"/>
      <c r="I341" s="6"/>
      <c r="J341" s="6"/>
      <c r="K341" s="5"/>
    </row>
    <row r="342" customFormat="false" ht="15" hidden="false" customHeight="false" outlineLevel="0" collapsed="false">
      <c r="A342" s="5"/>
      <c r="B342" s="5"/>
      <c r="C342" s="5"/>
      <c r="D342" s="5"/>
      <c r="E342" s="5"/>
      <c r="F342" s="6"/>
      <c r="G342" s="6"/>
      <c r="H342" s="6"/>
      <c r="I342" s="6"/>
      <c r="J342" s="6"/>
      <c r="K342" s="5"/>
    </row>
    <row r="343" customFormat="false" ht="15" hidden="false" customHeight="false" outlineLevel="0" collapsed="false">
      <c r="A343" s="5"/>
      <c r="B343" s="5"/>
      <c r="C343" s="5"/>
      <c r="D343" s="5"/>
      <c r="E343" s="5"/>
      <c r="F343" s="6"/>
      <c r="G343" s="6"/>
      <c r="H343" s="6"/>
      <c r="I343" s="6"/>
      <c r="J343" s="6"/>
      <c r="K343" s="5"/>
    </row>
    <row r="344" customFormat="false" ht="15" hidden="false" customHeight="false" outlineLevel="0" collapsed="false">
      <c r="A344" s="5"/>
      <c r="B344" s="5"/>
      <c r="C344" s="5"/>
      <c r="D344" s="5"/>
      <c r="E344" s="5"/>
      <c r="F344" s="6"/>
      <c r="G344" s="6"/>
      <c r="H344" s="6"/>
      <c r="I344" s="6"/>
      <c r="J344" s="6"/>
      <c r="K344" s="5"/>
    </row>
    <row r="345" customFormat="false" ht="15" hidden="false" customHeight="false" outlineLevel="0" collapsed="false">
      <c r="A345" s="5"/>
      <c r="B345" s="5"/>
      <c r="C345" s="5"/>
      <c r="D345" s="5"/>
      <c r="E345" s="5"/>
      <c r="F345" s="6"/>
      <c r="G345" s="6"/>
      <c r="H345" s="6"/>
      <c r="I345" s="6"/>
      <c r="J345" s="6"/>
      <c r="K345" s="5"/>
    </row>
    <row r="346" customFormat="false" ht="15" hidden="false" customHeight="false" outlineLevel="0" collapsed="false">
      <c r="A346" s="5"/>
      <c r="B346" s="5"/>
      <c r="C346" s="5"/>
      <c r="D346" s="5"/>
      <c r="E346" s="5"/>
      <c r="F346" s="6"/>
      <c r="G346" s="6"/>
      <c r="H346" s="6"/>
      <c r="I346" s="6"/>
      <c r="J346" s="6"/>
      <c r="K346" s="5"/>
    </row>
    <row r="347" customFormat="false" ht="15" hidden="false" customHeight="false" outlineLevel="0" collapsed="false">
      <c r="A347" s="5"/>
      <c r="B347" s="5"/>
      <c r="C347" s="5"/>
      <c r="D347" s="5"/>
      <c r="E347" s="5"/>
      <c r="F347" s="6"/>
      <c r="G347" s="6"/>
      <c r="H347" s="6"/>
      <c r="I347" s="6"/>
      <c r="J347" s="6"/>
      <c r="K347" s="5"/>
    </row>
    <row r="348" customFormat="false" ht="15" hidden="false" customHeight="false" outlineLevel="0" collapsed="false">
      <c r="A348" s="5"/>
      <c r="B348" s="5"/>
      <c r="C348" s="5"/>
      <c r="D348" s="5"/>
      <c r="E348" s="5"/>
      <c r="F348" s="6"/>
      <c r="G348" s="6"/>
      <c r="H348" s="6"/>
      <c r="I348" s="6"/>
      <c r="J348" s="6"/>
      <c r="K348" s="5"/>
    </row>
    <row r="349" customFormat="false" ht="15" hidden="false" customHeight="false" outlineLevel="0" collapsed="false">
      <c r="A349" s="5"/>
      <c r="B349" s="5"/>
      <c r="C349" s="5"/>
      <c r="D349" s="5"/>
      <c r="E349" s="5"/>
      <c r="F349" s="6"/>
      <c r="G349" s="6"/>
      <c r="H349" s="6"/>
      <c r="I349" s="6"/>
      <c r="J349" s="6"/>
      <c r="K349" s="5"/>
    </row>
    <row r="350" customFormat="false" ht="15" hidden="false" customHeight="false" outlineLevel="0" collapsed="false">
      <c r="A350" s="5"/>
      <c r="B350" s="5"/>
      <c r="C350" s="5"/>
      <c r="D350" s="5"/>
      <c r="E350" s="5"/>
      <c r="F350" s="6"/>
      <c r="G350" s="6"/>
      <c r="H350" s="6"/>
      <c r="I350" s="6"/>
      <c r="J350" s="6"/>
      <c r="K350" s="5"/>
    </row>
    <row r="351" customFormat="false" ht="15" hidden="false" customHeight="false" outlineLevel="0" collapsed="false">
      <c r="A351" s="5"/>
      <c r="B351" s="5"/>
      <c r="C351" s="5"/>
      <c r="D351" s="5"/>
      <c r="E351" s="5"/>
      <c r="F351" s="6"/>
      <c r="G351" s="6"/>
      <c r="H351" s="6"/>
      <c r="I351" s="6"/>
      <c r="J351" s="6"/>
      <c r="K351" s="5"/>
    </row>
    <row r="352" customFormat="false" ht="15" hidden="false" customHeight="false" outlineLevel="0" collapsed="false">
      <c r="A352" s="5"/>
      <c r="B352" s="5"/>
      <c r="C352" s="5"/>
      <c r="D352" s="5"/>
      <c r="E352" s="5"/>
      <c r="F352" s="6"/>
      <c r="G352" s="6"/>
      <c r="H352" s="6"/>
      <c r="I352" s="6"/>
      <c r="J352" s="6"/>
      <c r="K352" s="5"/>
    </row>
    <row r="353" customFormat="false" ht="15" hidden="false" customHeight="false" outlineLevel="0" collapsed="false">
      <c r="A353" s="5"/>
      <c r="B353" s="5"/>
      <c r="C353" s="5"/>
      <c r="D353" s="5"/>
      <c r="E353" s="5"/>
      <c r="F353" s="6"/>
      <c r="G353" s="6"/>
      <c r="H353" s="6"/>
      <c r="I353" s="6"/>
      <c r="J353" s="6"/>
      <c r="K353" s="5"/>
    </row>
    <row r="354" customFormat="false" ht="15" hidden="false" customHeight="false" outlineLevel="0" collapsed="false">
      <c r="A354" s="5"/>
      <c r="B354" s="5"/>
      <c r="C354" s="5"/>
      <c r="D354" s="5"/>
      <c r="E354" s="5"/>
      <c r="F354" s="6"/>
      <c r="G354" s="6"/>
      <c r="H354" s="6"/>
      <c r="I354" s="6"/>
      <c r="J354" s="6"/>
      <c r="K354" s="5"/>
    </row>
    <row r="355" customFormat="false" ht="15" hidden="false" customHeight="false" outlineLevel="0" collapsed="false">
      <c r="A355" s="5"/>
      <c r="B355" s="5"/>
      <c r="C355" s="5"/>
      <c r="D355" s="5"/>
      <c r="E355" s="5"/>
      <c r="F355" s="6"/>
      <c r="G355" s="6"/>
      <c r="H355" s="6"/>
      <c r="I355" s="6"/>
      <c r="J355" s="6"/>
      <c r="K355" s="5"/>
    </row>
    <row r="356" customFormat="false" ht="15" hidden="false" customHeight="false" outlineLevel="0" collapsed="false">
      <c r="A356" s="5"/>
      <c r="B356" s="5"/>
      <c r="C356" s="5"/>
      <c r="D356" s="5"/>
      <c r="E356" s="5"/>
      <c r="F356" s="6"/>
      <c r="G356" s="6"/>
      <c r="H356" s="6"/>
      <c r="I356" s="6"/>
      <c r="J356" s="6"/>
      <c r="K356" s="5"/>
    </row>
    <row r="357" customFormat="false" ht="15" hidden="false" customHeight="false" outlineLevel="0" collapsed="false">
      <c r="A357" s="5"/>
      <c r="B357" s="5"/>
      <c r="C357" s="5"/>
      <c r="D357" s="5"/>
      <c r="E357" s="5"/>
      <c r="F357" s="6"/>
      <c r="G357" s="6"/>
      <c r="H357" s="6"/>
      <c r="I357" s="6"/>
      <c r="J357" s="6"/>
      <c r="K357" s="5"/>
    </row>
    <row r="358" customFormat="false" ht="15" hidden="false" customHeight="false" outlineLevel="0" collapsed="false">
      <c r="A358" s="5"/>
      <c r="B358" s="5"/>
      <c r="C358" s="5"/>
      <c r="D358" s="5"/>
      <c r="E358" s="5"/>
      <c r="F358" s="6"/>
      <c r="G358" s="6"/>
      <c r="H358" s="6"/>
      <c r="I358" s="6"/>
      <c r="J358" s="6"/>
      <c r="K358" s="5"/>
    </row>
    <row r="359" customFormat="false" ht="15" hidden="false" customHeight="false" outlineLevel="0" collapsed="false">
      <c r="A359" s="5"/>
      <c r="B359" s="5"/>
      <c r="C359" s="5"/>
      <c r="D359" s="5"/>
      <c r="E359" s="5"/>
      <c r="F359" s="6"/>
      <c r="G359" s="6"/>
      <c r="H359" s="6"/>
      <c r="I359" s="6"/>
      <c r="J359" s="6"/>
      <c r="K359" s="5"/>
    </row>
    <row r="360" customFormat="false" ht="15" hidden="false" customHeight="false" outlineLevel="0" collapsed="false">
      <c r="A360" s="5"/>
      <c r="B360" s="5"/>
      <c r="C360" s="5"/>
      <c r="D360" s="5"/>
      <c r="E360" s="5"/>
      <c r="F360" s="6"/>
      <c r="G360" s="6"/>
      <c r="H360" s="6"/>
      <c r="I360" s="6"/>
      <c r="J360" s="6"/>
      <c r="K360" s="5"/>
    </row>
    <row r="361" customFormat="false" ht="15" hidden="false" customHeight="false" outlineLevel="0" collapsed="false">
      <c r="A361" s="5"/>
      <c r="B361" s="5"/>
      <c r="C361" s="5"/>
      <c r="D361" s="5"/>
      <c r="E361" s="5"/>
      <c r="F361" s="6"/>
      <c r="G361" s="6"/>
      <c r="H361" s="6"/>
      <c r="I361" s="6"/>
      <c r="J361" s="6"/>
      <c r="K361" s="5"/>
    </row>
    <row r="362" customFormat="false" ht="15" hidden="false" customHeight="false" outlineLevel="0" collapsed="false">
      <c r="A362" s="5"/>
      <c r="B362" s="5"/>
      <c r="C362" s="5"/>
      <c r="D362" s="5"/>
      <c r="E362" s="5"/>
      <c r="F362" s="6"/>
      <c r="G362" s="6"/>
      <c r="H362" s="6"/>
      <c r="I362" s="6"/>
      <c r="J362" s="6"/>
      <c r="K362" s="5"/>
    </row>
    <row r="363" customFormat="false" ht="15" hidden="false" customHeight="false" outlineLevel="0" collapsed="false">
      <c r="A363" s="5"/>
      <c r="B363" s="5"/>
      <c r="C363" s="5"/>
      <c r="D363" s="5"/>
      <c r="E363" s="5"/>
      <c r="F363" s="6"/>
      <c r="G363" s="6"/>
      <c r="H363" s="6"/>
      <c r="I363" s="6"/>
      <c r="J363" s="6"/>
      <c r="K363" s="5"/>
    </row>
    <row r="364" customFormat="false" ht="15" hidden="false" customHeight="false" outlineLevel="0" collapsed="false">
      <c r="A364" s="5"/>
      <c r="B364" s="5"/>
      <c r="C364" s="5"/>
      <c r="D364" s="5"/>
      <c r="E364" s="5"/>
      <c r="F364" s="6"/>
      <c r="G364" s="6"/>
      <c r="H364" s="6"/>
      <c r="I364" s="6"/>
      <c r="J364" s="6"/>
      <c r="K364" s="5"/>
    </row>
    <row r="365" customFormat="false" ht="15" hidden="false" customHeight="false" outlineLevel="0" collapsed="false">
      <c r="A365" s="5"/>
      <c r="B365" s="5"/>
      <c r="C365" s="5"/>
      <c r="D365" s="5"/>
      <c r="E365" s="5"/>
      <c r="F365" s="6"/>
      <c r="G365" s="6"/>
      <c r="H365" s="6"/>
      <c r="I365" s="6"/>
      <c r="J365" s="6"/>
      <c r="K365" s="5"/>
    </row>
    <row r="366" customFormat="false" ht="15" hidden="false" customHeight="false" outlineLevel="0" collapsed="false">
      <c r="A366" s="5"/>
      <c r="B366" s="5"/>
      <c r="C366" s="5"/>
      <c r="D366" s="5"/>
      <c r="E366" s="5"/>
      <c r="F366" s="6"/>
      <c r="G366" s="6"/>
      <c r="H366" s="6"/>
      <c r="I366" s="6"/>
      <c r="J366" s="6"/>
      <c r="K366" s="5"/>
    </row>
    <row r="367" customFormat="false" ht="15" hidden="false" customHeight="false" outlineLevel="0" collapsed="false">
      <c r="A367" s="5"/>
      <c r="B367" s="5"/>
      <c r="C367" s="5"/>
      <c r="D367" s="5"/>
      <c r="E367" s="5"/>
      <c r="F367" s="6"/>
      <c r="G367" s="6"/>
      <c r="H367" s="6"/>
      <c r="I367" s="6"/>
      <c r="J367" s="6"/>
      <c r="K367" s="5"/>
    </row>
    <row r="368" customFormat="false" ht="15" hidden="false" customHeight="false" outlineLevel="0" collapsed="false">
      <c r="A368" s="5"/>
      <c r="B368" s="5"/>
      <c r="C368" s="5"/>
      <c r="D368" s="5"/>
      <c r="E368" s="5"/>
      <c r="F368" s="6"/>
      <c r="G368" s="6"/>
      <c r="H368" s="6"/>
      <c r="I368" s="6"/>
      <c r="J368" s="6"/>
      <c r="K368" s="5"/>
    </row>
    <row r="369" customFormat="false" ht="15" hidden="false" customHeight="false" outlineLevel="0" collapsed="false">
      <c r="A369" s="5"/>
      <c r="B369" s="5"/>
      <c r="C369" s="5"/>
      <c r="D369" s="5"/>
      <c r="E369" s="5"/>
      <c r="F369" s="6"/>
      <c r="G369" s="6"/>
      <c r="H369" s="6"/>
      <c r="I369" s="6"/>
      <c r="J369" s="6"/>
      <c r="K369" s="5"/>
    </row>
    <row r="370" customFormat="false" ht="15" hidden="false" customHeight="false" outlineLevel="0" collapsed="false">
      <c r="A370" s="5"/>
      <c r="B370" s="5"/>
      <c r="C370" s="5"/>
      <c r="D370" s="5"/>
      <c r="E370" s="5"/>
      <c r="F370" s="6"/>
      <c r="G370" s="6"/>
      <c r="H370" s="6"/>
      <c r="I370" s="6"/>
      <c r="J370" s="6"/>
      <c r="K370" s="5"/>
    </row>
    <row r="371" customFormat="false" ht="15" hidden="false" customHeight="false" outlineLevel="0" collapsed="false">
      <c r="A371" s="5"/>
      <c r="B371" s="5"/>
      <c r="C371" s="5"/>
      <c r="D371" s="5"/>
      <c r="E371" s="5"/>
      <c r="F371" s="6"/>
      <c r="G371" s="6"/>
      <c r="H371" s="6"/>
      <c r="I371" s="6"/>
      <c r="J371" s="6"/>
      <c r="K371" s="5"/>
    </row>
    <row r="372" customFormat="false" ht="15" hidden="false" customHeight="false" outlineLevel="0" collapsed="false">
      <c r="A372" s="5"/>
      <c r="B372" s="5"/>
      <c r="C372" s="5"/>
      <c r="D372" s="5"/>
      <c r="E372" s="5"/>
      <c r="F372" s="6"/>
      <c r="G372" s="6"/>
      <c r="H372" s="6"/>
      <c r="I372" s="6"/>
      <c r="J372" s="6"/>
      <c r="K372" s="5"/>
    </row>
    <row r="373" customFormat="false" ht="15" hidden="false" customHeight="false" outlineLevel="0" collapsed="false">
      <c r="A373" s="5"/>
      <c r="B373" s="5"/>
      <c r="C373" s="5"/>
      <c r="D373" s="5"/>
      <c r="E373" s="5"/>
      <c r="F373" s="6"/>
      <c r="G373" s="6"/>
      <c r="H373" s="6"/>
      <c r="I373" s="6"/>
      <c r="J373" s="6"/>
      <c r="K373" s="5"/>
    </row>
    <row r="374" customFormat="false" ht="15" hidden="false" customHeight="false" outlineLevel="0" collapsed="false">
      <c r="A374" s="5"/>
      <c r="B374" s="5"/>
      <c r="C374" s="5"/>
      <c r="D374" s="5"/>
      <c r="E374" s="5"/>
      <c r="F374" s="6"/>
      <c r="G374" s="6"/>
      <c r="H374" s="6"/>
      <c r="I374" s="6"/>
      <c r="J374" s="6"/>
      <c r="K374" s="5"/>
    </row>
    <row r="375" customFormat="false" ht="15" hidden="false" customHeight="false" outlineLevel="0" collapsed="false">
      <c r="A375" s="5"/>
      <c r="B375" s="5"/>
      <c r="C375" s="5"/>
      <c r="D375" s="5"/>
      <c r="E375" s="5"/>
      <c r="F375" s="6"/>
      <c r="G375" s="6"/>
      <c r="H375" s="6"/>
      <c r="I375" s="6"/>
      <c r="J375" s="6"/>
      <c r="K375" s="5"/>
    </row>
    <row r="376" customFormat="false" ht="15" hidden="false" customHeight="false" outlineLevel="0" collapsed="false">
      <c r="A376" s="5"/>
      <c r="B376" s="5"/>
      <c r="C376" s="5"/>
      <c r="D376" s="5"/>
      <c r="E376" s="5"/>
      <c r="F376" s="6"/>
      <c r="G376" s="6"/>
      <c r="H376" s="6"/>
      <c r="I376" s="6"/>
      <c r="J376" s="6"/>
      <c r="K376" s="5"/>
    </row>
    <row r="377" customFormat="false" ht="15" hidden="false" customHeight="false" outlineLevel="0" collapsed="false">
      <c r="A377" s="5"/>
      <c r="B377" s="5"/>
      <c r="C377" s="5"/>
      <c r="D377" s="5"/>
      <c r="E377" s="5"/>
      <c r="F377" s="6"/>
      <c r="G377" s="6"/>
      <c r="H377" s="6"/>
      <c r="I377" s="6"/>
      <c r="J377" s="6"/>
      <c r="K377" s="5"/>
    </row>
    <row r="378" customFormat="false" ht="15" hidden="false" customHeight="false" outlineLevel="0" collapsed="false">
      <c r="A378" s="5"/>
      <c r="B378" s="5"/>
      <c r="C378" s="5"/>
      <c r="D378" s="5"/>
      <c r="E378" s="5"/>
      <c r="F378" s="6"/>
      <c r="G378" s="6"/>
      <c r="H378" s="6"/>
      <c r="I378" s="6"/>
      <c r="J378" s="6"/>
      <c r="K378" s="5"/>
    </row>
    <row r="379" customFormat="false" ht="15" hidden="false" customHeight="false" outlineLevel="0" collapsed="false">
      <c r="A379" s="5"/>
      <c r="B379" s="5"/>
      <c r="C379" s="5"/>
      <c r="D379" s="5"/>
      <c r="E379" s="5"/>
      <c r="F379" s="6"/>
      <c r="G379" s="6"/>
      <c r="H379" s="6"/>
      <c r="I379" s="6"/>
      <c r="J379" s="6"/>
      <c r="K379" s="5"/>
    </row>
    <row r="380" customFormat="false" ht="15" hidden="false" customHeight="false" outlineLevel="0" collapsed="false">
      <c r="A380" s="5"/>
      <c r="B380" s="5"/>
      <c r="C380" s="5"/>
      <c r="D380" s="5"/>
      <c r="E380" s="5"/>
      <c r="F380" s="6"/>
      <c r="G380" s="6"/>
      <c r="H380" s="6"/>
      <c r="I380" s="6"/>
      <c r="J380" s="6"/>
      <c r="K380" s="5"/>
    </row>
    <row r="381" customFormat="false" ht="15" hidden="false" customHeight="false" outlineLevel="0" collapsed="false">
      <c r="A381" s="5"/>
      <c r="B381" s="5"/>
      <c r="C381" s="5"/>
      <c r="D381" s="5"/>
      <c r="E381" s="5"/>
      <c r="F381" s="6"/>
      <c r="G381" s="6"/>
      <c r="H381" s="6"/>
      <c r="I381" s="6"/>
      <c r="J381" s="6"/>
      <c r="K381" s="5"/>
    </row>
    <row r="382" customFormat="false" ht="15" hidden="false" customHeight="false" outlineLevel="0" collapsed="false">
      <c r="A382" s="5"/>
      <c r="B382" s="5"/>
      <c r="C382" s="5"/>
      <c r="D382" s="5"/>
      <c r="E382" s="5"/>
      <c r="F382" s="6"/>
      <c r="G382" s="6"/>
      <c r="H382" s="6"/>
      <c r="I382" s="6"/>
      <c r="J382" s="6"/>
      <c r="K382" s="5"/>
    </row>
    <row r="383" customFormat="false" ht="15" hidden="false" customHeight="false" outlineLevel="0" collapsed="false">
      <c r="A383" s="5"/>
      <c r="B383" s="5"/>
      <c r="C383" s="5"/>
      <c r="D383" s="5"/>
      <c r="E383" s="5"/>
      <c r="F383" s="6"/>
      <c r="G383" s="6"/>
      <c r="H383" s="6"/>
      <c r="I383" s="6"/>
      <c r="J383" s="6"/>
      <c r="K383" s="5"/>
    </row>
    <row r="384" customFormat="false" ht="15" hidden="false" customHeight="false" outlineLevel="0" collapsed="false">
      <c r="A384" s="5"/>
      <c r="B384" s="5"/>
      <c r="C384" s="5"/>
      <c r="D384" s="5"/>
      <c r="E384" s="5"/>
      <c r="F384" s="6"/>
      <c r="G384" s="6"/>
      <c r="H384" s="6"/>
      <c r="I384" s="6"/>
      <c r="J384" s="6"/>
      <c r="K384" s="5"/>
    </row>
    <row r="385" customFormat="false" ht="15" hidden="false" customHeight="false" outlineLevel="0" collapsed="false">
      <c r="A385" s="5"/>
      <c r="B385" s="5"/>
      <c r="C385" s="5"/>
      <c r="D385" s="5"/>
      <c r="E385" s="5"/>
      <c r="F385" s="6"/>
      <c r="G385" s="6"/>
      <c r="H385" s="6"/>
      <c r="I385" s="6"/>
      <c r="J385" s="6"/>
      <c r="K385" s="5"/>
    </row>
    <row r="386" customFormat="false" ht="15" hidden="false" customHeight="false" outlineLevel="0" collapsed="false">
      <c r="A386" s="5"/>
      <c r="B386" s="5"/>
      <c r="C386" s="5"/>
      <c r="D386" s="5"/>
      <c r="E386" s="5"/>
      <c r="F386" s="6"/>
      <c r="G386" s="6"/>
      <c r="H386" s="6"/>
      <c r="I386" s="6"/>
      <c r="J386" s="6"/>
      <c r="K386" s="5"/>
    </row>
    <row r="387" customFormat="false" ht="15" hidden="false" customHeight="false" outlineLevel="0" collapsed="false">
      <c r="A387" s="5"/>
      <c r="B387" s="5"/>
      <c r="C387" s="5"/>
      <c r="D387" s="5"/>
      <c r="E387" s="5"/>
      <c r="F387" s="6"/>
      <c r="G387" s="6"/>
      <c r="H387" s="6"/>
      <c r="I387" s="6"/>
      <c r="J387" s="6"/>
      <c r="K387" s="5"/>
    </row>
    <row r="388" customFormat="false" ht="15" hidden="false" customHeight="false" outlineLevel="0" collapsed="false">
      <c r="A388" s="5"/>
      <c r="B388" s="5"/>
      <c r="C388" s="5"/>
      <c r="D388" s="5"/>
      <c r="E388" s="5"/>
      <c r="F388" s="6"/>
      <c r="G388" s="6"/>
      <c r="H388" s="6"/>
      <c r="I388" s="6"/>
      <c r="J388" s="6"/>
      <c r="K388" s="5"/>
    </row>
    <row r="389" customFormat="false" ht="15" hidden="false" customHeight="false" outlineLevel="0" collapsed="false">
      <c r="A389" s="5"/>
      <c r="B389" s="5"/>
      <c r="C389" s="5"/>
      <c r="D389" s="5"/>
      <c r="E389" s="5"/>
      <c r="F389" s="6"/>
      <c r="G389" s="6"/>
      <c r="H389" s="6"/>
      <c r="I389" s="6"/>
      <c r="J389" s="6"/>
      <c r="K389" s="5"/>
    </row>
    <row r="390" customFormat="false" ht="15" hidden="false" customHeight="false" outlineLevel="0" collapsed="false">
      <c r="A390" s="5"/>
      <c r="B390" s="5"/>
      <c r="C390" s="5"/>
      <c r="D390" s="5"/>
      <c r="E390" s="5"/>
      <c r="F390" s="6"/>
      <c r="G390" s="6"/>
      <c r="H390" s="6"/>
      <c r="I390" s="6"/>
      <c r="J390" s="6"/>
      <c r="K390" s="5"/>
    </row>
    <row r="391" customFormat="false" ht="15" hidden="false" customHeight="false" outlineLevel="0" collapsed="false">
      <c r="A391" s="5"/>
      <c r="B391" s="5"/>
      <c r="C391" s="5"/>
      <c r="D391" s="5"/>
      <c r="E391" s="5"/>
      <c r="F391" s="6"/>
      <c r="G391" s="6"/>
      <c r="H391" s="6"/>
      <c r="I391" s="6"/>
      <c r="J391" s="6"/>
      <c r="K391" s="5"/>
    </row>
    <row r="392" customFormat="false" ht="15" hidden="false" customHeight="false" outlineLevel="0" collapsed="false">
      <c r="A392" s="5"/>
      <c r="B392" s="5"/>
      <c r="C392" s="5"/>
      <c r="D392" s="5"/>
      <c r="E392" s="5"/>
      <c r="F392" s="6"/>
      <c r="G392" s="6"/>
      <c r="H392" s="6"/>
      <c r="I392" s="6"/>
      <c r="J392" s="6"/>
      <c r="K392" s="5"/>
    </row>
    <row r="393" customFormat="false" ht="15" hidden="false" customHeight="false" outlineLevel="0" collapsed="false">
      <c r="A393" s="5"/>
      <c r="B393" s="5"/>
      <c r="C393" s="5"/>
      <c r="D393" s="5"/>
      <c r="E393" s="5"/>
      <c r="F393" s="6"/>
      <c r="G393" s="6"/>
      <c r="H393" s="6"/>
      <c r="I393" s="6"/>
      <c r="J393" s="6"/>
      <c r="K393" s="5"/>
    </row>
    <row r="394" customFormat="false" ht="15" hidden="false" customHeight="false" outlineLevel="0" collapsed="false">
      <c r="A394" s="5"/>
      <c r="B394" s="5"/>
      <c r="C394" s="5"/>
      <c r="D394" s="5"/>
      <c r="E394" s="5"/>
      <c r="F394" s="6"/>
      <c r="G394" s="6"/>
      <c r="H394" s="6"/>
      <c r="I394" s="6"/>
      <c r="J394" s="6"/>
      <c r="K394" s="5"/>
    </row>
    <row r="395" customFormat="false" ht="15" hidden="false" customHeight="false" outlineLevel="0" collapsed="false">
      <c r="A395" s="5"/>
      <c r="B395" s="5"/>
      <c r="C395" s="5"/>
      <c r="D395" s="5"/>
      <c r="E395" s="5"/>
      <c r="F395" s="6"/>
      <c r="G395" s="6"/>
      <c r="H395" s="6"/>
      <c r="I395" s="6"/>
      <c r="J395" s="6"/>
      <c r="K395" s="5"/>
    </row>
    <row r="396" customFormat="false" ht="15" hidden="false" customHeight="false" outlineLevel="0" collapsed="false">
      <c r="A396" s="5"/>
      <c r="B396" s="5"/>
      <c r="C396" s="5"/>
      <c r="D396" s="5"/>
      <c r="E396" s="5"/>
      <c r="F396" s="6"/>
      <c r="G396" s="6"/>
      <c r="H396" s="6"/>
      <c r="I396" s="6"/>
      <c r="J396" s="6"/>
      <c r="K396" s="5"/>
    </row>
    <row r="397" customFormat="false" ht="15" hidden="false" customHeight="false" outlineLevel="0" collapsed="false">
      <c r="A397" s="5"/>
      <c r="B397" s="5"/>
      <c r="C397" s="5"/>
      <c r="D397" s="5"/>
      <c r="E397" s="5"/>
      <c r="F397" s="6"/>
      <c r="G397" s="6"/>
      <c r="H397" s="6"/>
      <c r="I397" s="6"/>
      <c r="J397" s="6"/>
      <c r="K397" s="5"/>
    </row>
    <row r="398" customFormat="false" ht="15" hidden="false" customHeight="false" outlineLevel="0" collapsed="false">
      <c r="A398" s="5"/>
      <c r="B398" s="5"/>
      <c r="C398" s="5"/>
      <c r="D398" s="5"/>
      <c r="E398" s="5"/>
      <c r="F398" s="6"/>
      <c r="G398" s="6"/>
      <c r="H398" s="6"/>
      <c r="I398" s="6"/>
      <c r="J398" s="6"/>
      <c r="K398" s="5"/>
    </row>
    <row r="399" customFormat="false" ht="15" hidden="false" customHeight="false" outlineLevel="0" collapsed="false">
      <c r="A399" s="5"/>
      <c r="B399" s="5"/>
      <c r="C399" s="5"/>
      <c r="D399" s="5"/>
      <c r="E399" s="5"/>
      <c r="F399" s="6"/>
      <c r="G399" s="6"/>
      <c r="H399" s="6"/>
      <c r="I399" s="6"/>
      <c r="J399" s="6"/>
      <c r="K399" s="5"/>
    </row>
    <row r="400" customFormat="false" ht="15" hidden="false" customHeight="false" outlineLevel="0" collapsed="false">
      <c r="A400" s="5"/>
      <c r="B400" s="5"/>
      <c r="C400" s="5"/>
      <c r="D400" s="5"/>
      <c r="E400" s="5"/>
      <c r="F400" s="6"/>
      <c r="G400" s="6"/>
      <c r="H400" s="6"/>
      <c r="I400" s="6"/>
      <c r="J400" s="6"/>
      <c r="K400" s="5"/>
    </row>
    <row r="401" customFormat="false" ht="15" hidden="false" customHeight="false" outlineLevel="0" collapsed="false">
      <c r="A401" s="5"/>
      <c r="B401" s="5"/>
      <c r="C401" s="5"/>
      <c r="D401" s="5"/>
      <c r="E401" s="5"/>
      <c r="F401" s="6"/>
      <c r="G401" s="6"/>
      <c r="H401" s="6"/>
      <c r="I401" s="6"/>
      <c r="J401" s="6"/>
      <c r="K401" s="5"/>
    </row>
    <row r="402" customFormat="false" ht="15" hidden="false" customHeight="false" outlineLevel="0" collapsed="false">
      <c r="A402" s="5"/>
      <c r="B402" s="5"/>
      <c r="C402" s="5"/>
      <c r="D402" s="5"/>
      <c r="E402" s="5"/>
      <c r="F402" s="6"/>
      <c r="G402" s="6"/>
      <c r="H402" s="6"/>
      <c r="I402" s="6"/>
      <c r="J402" s="6"/>
      <c r="K402" s="5"/>
    </row>
    <row r="403" customFormat="false" ht="15" hidden="false" customHeight="false" outlineLevel="0" collapsed="false">
      <c r="A403" s="5"/>
      <c r="B403" s="5"/>
      <c r="C403" s="5"/>
      <c r="D403" s="5"/>
      <c r="E403" s="5"/>
      <c r="F403" s="6"/>
      <c r="G403" s="6"/>
      <c r="H403" s="6"/>
      <c r="I403" s="6"/>
      <c r="J403" s="6"/>
      <c r="K403" s="5"/>
    </row>
    <row r="404" customFormat="false" ht="15" hidden="false" customHeight="false" outlineLevel="0" collapsed="false">
      <c r="A404" s="5"/>
      <c r="B404" s="5"/>
      <c r="C404" s="5"/>
      <c r="D404" s="5"/>
      <c r="E404" s="5"/>
      <c r="F404" s="6"/>
      <c r="G404" s="6"/>
      <c r="H404" s="6"/>
      <c r="I404" s="6"/>
      <c r="J404" s="6"/>
      <c r="K404" s="5"/>
    </row>
    <row r="405" customFormat="false" ht="15" hidden="false" customHeight="false" outlineLevel="0" collapsed="false">
      <c r="A405" s="5"/>
      <c r="B405" s="5"/>
      <c r="C405" s="5"/>
      <c r="D405" s="5"/>
      <c r="E405" s="5"/>
      <c r="F405" s="6"/>
      <c r="G405" s="6"/>
      <c r="H405" s="6"/>
      <c r="I405" s="6"/>
      <c r="J405" s="6"/>
      <c r="K405" s="5"/>
    </row>
  </sheetData>
  <dataValidations count="2">
    <dataValidation allowBlank="true" errorStyle="stop" operator="between" showDropDown="false" showErrorMessage="false" showInputMessage="false" sqref="F6:H405 J6:J405" type="list">
      <formula1>"Haan,Nahi"</formula1>
      <formula2>0</formula2>
    </dataValidation>
    <dataValidation allowBlank="true" errorStyle="stop" operator="between" showDropDown="false" showErrorMessage="false" showInputMessage="false" sqref="C6:C405" type="list">
      <formula1>"OLX,Facebook Marketplace,FB group,WhatsApp group,Telegram,Dukaan,Campus,Coaching,Instagram,Reddit,Swap day"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7" t="s">
        <v>23</v>
      </c>
      <c r="B4" s="7" t="s">
        <v>24</v>
      </c>
    </row>
    <row r="5" customFormat="false" ht="15" hidden="false" customHeight="false" outlineLevel="0" collapsed="false">
      <c r="A5" s="8" t="s">
        <v>25</v>
      </c>
      <c r="B5" s="9" t="n">
        <f aca="false">COUNTIF(Outreach!F6:F405,"Haan")</f>
        <v>0</v>
      </c>
    </row>
    <row r="6" customFormat="false" ht="15" hidden="false" customHeight="false" outlineLevel="0" collapsed="false">
      <c r="A6" s="10" t="s">
        <v>26</v>
      </c>
      <c r="B6" s="11" t="n">
        <f aca="false">COUNTIF(Outreach!G6:G405,"Haan")</f>
        <v>0</v>
      </c>
    </row>
    <row r="7" customFormat="false" ht="15" hidden="false" customHeight="false" outlineLevel="0" collapsed="false">
      <c r="A7" s="8" t="s">
        <v>27</v>
      </c>
      <c r="B7" s="9" t="n">
        <f aca="false">COUNTIF(Outreach!H6:H405,"Haan")</f>
        <v>0</v>
      </c>
    </row>
    <row r="8" customFormat="false" ht="15" hidden="false" customHeight="false" outlineLevel="0" collapsed="false">
      <c r="A8" s="10" t="s">
        <v>28</v>
      </c>
      <c r="B8" s="12" t="n">
        <f aca="false">IFERROR(B6/B5,0)</f>
        <v>0</v>
      </c>
    </row>
    <row r="9" customFormat="false" ht="15" hidden="false" customHeight="false" outlineLevel="0" collapsed="false">
      <c r="A9" s="8" t="s">
        <v>29</v>
      </c>
      <c r="B9" s="13" t="n">
        <f aca="false">IFERROR(B7/B5,0)</f>
        <v>0</v>
      </c>
    </row>
    <row r="10" customFormat="false" ht="15" hidden="false" customHeight="false" outlineLevel="0" collapsed="false">
      <c r="A10" s="10" t="s">
        <v>30</v>
      </c>
      <c r="B10" s="11" t="n">
        <f aca="false">SUM(Outreach!I6:I405)</f>
        <v>0</v>
      </c>
    </row>
    <row r="11" customFormat="false" ht="15" hidden="false" customHeight="false" outlineLevel="0" collapsed="false">
      <c r="A11" s="14" t="s">
        <v>31</v>
      </c>
      <c r="B11" s="15" t="n">
        <f aca="false">COUNTIFS(Outreach!I6:I405,"&gt;=3",Outreach!J6:J405,"Haan")</f>
        <v>0</v>
      </c>
    </row>
    <row r="12" customFormat="false" ht="15" hidden="false" customHeight="false" outlineLevel="0" collapsed="false">
      <c r="A12" s="10" t="s">
        <v>32</v>
      </c>
      <c r="B12" s="11" t="n">
        <f aca="false">100-COUNTIF(Outreach!H6:H405,"Haan")</f>
        <v>100</v>
      </c>
    </row>
    <row r="15" customFormat="false" ht="15" hidden="false" customHeight="false" outlineLevel="0" collapsed="false">
      <c r="A15" s="16" t="s">
        <v>33</v>
      </c>
    </row>
    <row r="16" customFormat="false" ht="15" hidden="false" customHeight="false" outlineLevel="0" collapsed="false">
      <c r="A16" s="17" t="s">
        <v>34</v>
      </c>
    </row>
    <row r="17" customFormat="false" ht="15" hidden="false" customHeight="false" outlineLevel="0" collapsed="false">
      <c r="A17" s="17" t="s">
        <v>35</v>
      </c>
    </row>
    <row r="18" customFormat="false" ht="15" hidden="false" customHeight="false" outlineLevel="0" collapsed="false">
      <c r="A18" s="17" t="s">
        <v>36</v>
      </c>
    </row>
    <row r="19" customFormat="false" ht="15" hidden="false" customHeight="false" outlineLevel="0" collapsed="false">
      <c r="A19" s="17"/>
    </row>
    <row r="20" customFormat="false" ht="15" hidden="false" customHeight="false" outlineLevel="0" collapsed="false">
      <c r="A20" s="17" t="s">
        <v>37</v>
      </c>
    </row>
    <row r="21" customFormat="false" ht="15" hidden="false" customHeight="false" outlineLevel="0" collapsed="false">
      <c r="A21" s="1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44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7" t="s">
        <v>6</v>
      </c>
      <c r="B4" s="7" t="s">
        <v>41</v>
      </c>
      <c r="C4" s="7" t="s">
        <v>42</v>
      </c>
    </row>
    <row r="5" customFormat="false" ht="15" hidden="false" customHeight="false" outlineLevel="0" collapsed="false">
      <c r="A5" s="4" t="s">
        <v>43</v>
      </c>
      <c r="B5" s="18" t="n">
        <f aca="false">COUNTIF(Outreach!$E$6:$E$405,"*247001*")</f>
        <v>0</v>
      </c>
      <c r="C5" s="4" t="s">
        <v>44</v>
      </c>
    </row>
    <row r="6" customFormat="false" ht="15" hidden="false" customHeight="false" outlineLevel="0" collapsed="false">
      <c r="A6" s="6"/>
      <c r="B6" s="5" t="str">
        <f aca="false">IF($A6="","",COUNTIF(Outreach!$E$6:$E$405,"*"&amp;$A6&amp;"*"))</f>
        <v/>
      </c>
      <c r="C6" s="6"/>
    </row>
    <row r="7" customFormat="false" ht="15" hidden="false" customHeight="false" outlineLevel="0" collapsed="false">
      <c r="A7" s="6"/>
      <c r="B7" s="5" t="str">
        <f aca="false">IF($A7="","",COUNTIF(Outreach!$E$6:$E$405,"*"&amp;$A7&amp;"*"))</f>
        <v/>
      </c>
      <c r="C7" s="6"/>
    </row>
    <row r="8" customFormat="false" ht="15" hidden="false" customHeight="false" outlineLevel="0" collapsed="false">
      <c r="A8" s="6"/>
      <c r="B8" s="5" t="str">
        <f aca="false">IF($A8="","",COUNTIF(Outreach!$E$6:$E$405,"*"&amp;$A8&amp;"*"))</f>
        <v/>
      </c>
      <c r="C8" s="6"/>
    </row>
    <row r="9" customFormat="false" ht="15" hidden="false" customHeight="false" outlineLevel="0" collapsed="false">
      <c r="A9" s="6"/>
      <c r="B9" s="5" t="str">
        <f aca="false">IF($A9="","",COUNTIF(Outreach!$E$6:$E$405,"*"&amp;$A9&amp;"*"))</f>
        <v/>
      </c>
      <c r="C9" s="6"/>
    </row>
    <row r="10" customFormat="false" ht="15" hidden="false" customHeight="false" outlineLevel="0" collapsed="false">
      <c r="A10" s="6"/>
      <c r="B10" s="5" t="str">
        <f aca="false">IF($A10="","",COUNTIF(Outreach!$E$6:$E$405,"*"&amp;$A10&amp;"*"))</f>
        <v/>
      </c>
      <c r="C10" s="6"/>
    </row>
    <row r="11" customFormat="false" ht="15" hidden="false" customHeight="false" outlineLevel="0" collapsed="false">
      <c r="A11" s="6"/>
      <c r="B11" s="5" t="str">
        <f aca="false">IF($A11="","",COUNTIF(Outreach!$E$6:$E$405,"*"&amp;$A11&amp;"*"))</f>
        <v/>
      </c>
      <c r="C11" s="6"/>
    </row>
    <row r="12" customFormat="false" ht="15" hidden="false" customHeight="false" outlineLevel="0" collapsed="false">
      <c r="A12" s="6"/>
      <c r="B12" s="5" t="str">
        <f aca="false">IF($A12="","",COUNTIF(Outreach!$E$6:$E$405,"*"&amp;$A12&amp;"*"))</f>
        <v/>
      </c>
      <c r="C12" s="6"/>
    </row>
    <row r="13" customFormat="false" ht="15" hidden="false" customHeight="false" outlineLevel="0" collapsed="false">
      <c r="A13" s="6"/>
      <c r="B13" s="5" t="str">
        <f aca="false">IF($A13="","",COUNTIF(Outreach!$E$6:$E$405,"*"&amp;$A13&amp;"*"))</f>
        <v/>
      </c>
      <c r="C13" s="6"/>
    </row>
    <row r="14" customFormat="false" ht="15" hidden="false" customHeight="false" outlineLevel="0" collapsed="false">
      <c r="A14" s="6"/>
      <c r="B14" s="5" t="str">
        <f aca="false">IF($A14="","",COUNTIF(Outreach!$E$6:$E$405,"*"&amp;$A14&amp;"*"))</f>
        <v/>
      </c>
      <c r="C14" s="6"/>
    </row>
    <row r="15" customFormat="false" ht="15" hidden="false" customHeight="false" outlineLevel="0" collapsed="false">
      <c r="A15" s="6"/>
      <c r="B15" s="5" t="str">
        <f aca="false">IF($A15="","",COUNTIF(Outreach!$E$6:$E$405,"*"&amp;$A15&amp;"*"))</f>
        <v/>
      </c>
      <c r="C15" s="6"/>
    </row>
    <row r="16" customFormat="false" ht="15" hidden="false" customHeight="false" outlineLevel="0" collapsed="false">
      <c r="A16" s="6"/>
      <c r="B16" s="5" t="str">
        <f aca="false">IF($A16="","",COUNTIF(Outreach!$E$6:$E$405,"*"&amp;$A16&amp;"*"))</f>
        <v/>
      </c>
      <c r="C16" s="6"/>
    </row>
    <row r="17" customFormat="false" ht="15" hidden="false" customHeight="false" outlineLevel="0" collapsed="false">
      <c r="A17" s="6"/>
      <c r="B17" s="5" t="str">
        <f aca="false">IF($A17="","",COUNTIF(Outreach!$E$6:$E$405,"*"&amp;$A17&amp;"*"))</f>
        <v/>
      </c>
      <c r="C17" s="6"/>
    </row>
    <row r="18" customFormat="false" ht="15" hidden="false" customHeight="false" outlineLevel="0" collapsed="false">
      <c r="A18" s="6"/>
      <c r="B18" s="5" t="str">
        <f aca="false">IF($A18="","",COUNTIF(Outreach!$E$6:$E$405,"*"&amp;$A18&amp;"*"))</f>
        <v/>
      </c>
      <c r="C18" s="6"/>
    </row>
    <row r="19" customFormat="false" ht="15" hidden="false" customHeight="false" outlineLevel="0" collapsed="false">
      <c r="A19" s="6"/>
      <c r="B19" s="5" t="str">
        <f aca="false">IF($A19="","",COUNTIF(Outreach!$E$6:$E$405,"*"&amp;$A19&amp;"*"))</f>
        <v/>
      </c>
      <c r="C19" s="6"/>
    </row>
    <row r="20" customFormat="false" ht="15" hidden="false" customHeight="false" outlineLevel="0" collapsed="false">
      <c r="A20" s="6"/>
      <c r="B20" s="5" t="str">
        <f aca="false">IF($A20="","",COUNTIF(Outreach!$E$6:$E$405,"*"&amp;$A20&amp;"*"))</f>
        <v/>
      </c>
      <c r="C20" s="6"/>
    </row>
    <row r="21" customFormat="false" ht="15" hidden="false" customHeight="false" outlineLevel="0" collapsed="false">
      <c r="A21" s="6"/>
      <c r="B21" s="5" t="str">
        <f aca="false">IF($A21="","",COUNTIF(Outreach!$E$6:$E$405,"*"&amp;$A21&amp;"*"))</f>
        <v/>
      </c>
      <c r="C21" s="6"/>
    </row>
    <row r="22" customFormat="false" ht="15" hidden="false" customHeight="false" outlineLevel="0" collapsed="false">
      <c r="A22" s="6"/>
      <c r="B22" s="5" t="str">
        <f aca="false">IF($A22="","",COUNTIF(Outreach!$E$6:$E$405,"*"&amp;$A22&amp;"*"))</f>
        <v/>
      </c>
      <c r="C22" s="6"/>
    </row>
    <row r="23" customFormat="false" ht="15" hidden="false" customHeight="false" outlineLevel="0" collapsed="false">
      <c r="A23" s="6"/>
      <c r="B23" s="5" t="str">
        <f aca="false">IF($A23="","",COUNTIF(Outreach!$E$6:$E$405,"*"&amp;$A23&amp;"*"))</f>
        <v/>
      </c>
      <c r="C23" s="6"/>
    </row>
    <row r="24" customFormat="false" ht="15" hidden="false" customHeight="false" outlineLevel="0" collapsed="false">
      <c r="A24" s="6"/>
      <c r="B24" s="5" t="str">
        <f aca="false">IF($A24="","",COUNTIF(Outreach!$E$6:$E$405,"*"&amp;$A24&amp;"*"))</f>
        <v/>
      </c>
      <c r="C24" s="6"/>
    </row>
    <row r="25" customFormat="false" ht="15" hidden="false" customHeight="false" outlineLevel="0" collapsed="false">
      <c r="A25" s="6"/>
      <c r="B25" s="5" t="str">
        <f aca="false">IF($A25="","",COUNTIF(Outreach!$E$6:$E$405,"*"&amp;$A25&amp;"*"))</f>
        <v/>
      </c>
      <c r="C25" s="6"/>
    </row>
    <row r="26" customFormat="false" ht="15" hidden="false" customHeight="false" outlineLevel="0" collapsed="false">
      <c r="A26" s="6"/>
      <c r="B26" s="5" t="str">
        <f aca="false">IF($A26="","",COUNTIF(Outreach!$E$6:$E$405,"*"&amp;$A26&amp;"*"))</f>
        <v/>
      </c>
      <c r="C26" s="6"/>
    </row>
    <row r="27" customFormat="false" ht="15" hidden="false" customHeight="false" outlineLevel="0" collapsed="false">
      <c r="A27" s="6"/>
      <c r="B27" s="5" t="str">
        <f aca="false">IF($A27="","",COUNTIF(Outreach!$E$6:$E$405,"*"&amp;$A27&amp;"*"))</f>
        <v/>
      </c>
      <c r="C27" s="6"/>
    </row>
    <row r="28" customFormat="false" ht="15" hidden="false" customHeight="false" outlineLevel="0" collapsed="false">
      <c r="A28" s="6"/>
      <c r="B28" s="5" t="str">
        <f aca="false">IF($A28="","",COUNTIF(Outreach!$E$6:$E$405,"*"&amp;$A28&amp;"*"))</f>
        <v/>
      </c>
      <c r="C28" s="6"/>
    </row>
    <row r="29" customFormat="false" ht="15" hidden="false" customHeight="false" outlineLevel="0" collapsed="false">
      <c r="A29" s="6"/>
      <c r="B29" s="5" t="str">
        <f aca="false">IF($A29="","",COUNTIF(Outreach!$E$6:$E$405,"*"&amp;$A29&amp;"*"))</f>
        <v/>
      </c>
      <c r="C29" s="6"/>
    </row>
    <row r="30" customFormat="false" ht="15" hidden="false" customHeight="false" outlineLevel="0" collapsed="false">
      <c r="A30" s="6"/>
      <c r="B30" s="5" t="str">
        <f aca="false">IF($A30="","",COUNTIF(Outreach!$E$6:$E$405,"*"&amp;$A30&amp;"*"))</f>
        <v/>
      </c>
      <c r="C30" s="6"/>
    </row>
    <row r="31" customFormat="false" ht="15" hidden="false" customHeight="false" outlineLevel="0" collapsed="false">
      <c r="A31" s="6"/>
      <c r="B31" s="5" t="str">
        <f aca="false">IF($A31="","",COUNTIF(Outreach!$E$6:$E$405,"*"&amp;$A31&amp;"*"))</f>
        <v/>
      </c>
      <c r="C31" s="6"/>
    </row>
    <row r="32" customFormat="false" ht="15" hidden="false" customHeight="false" outlineLevel="0" collapsed="false">
      <c r="A32" s="6"/>
      <c r="B32" s="5" t="str">
        <f aca="false">IF($A32="","",COUNTIF(Outreach!$E$6:$E$405,"*"&amp;$A32&amp;"*"))</f>
        <v/>
      </c>
      <c r="C32" s="6"/>
    </row>
    <row r="33" customFormat="false" ht="15" hidden="false" customHeight="false" outlineLevel="0" collapsed="false">
      <c r="A33" s="6"/>
      <c r="B33" s="5" t="str">
        <f aca="false">IF($A33="","",COUNTIF(Outreach!$E$6:$E$405,"*"&amp;$A33&amp;"*"))</f>
        <v/>
      </c>
      <c r="C33" s="6"/>
    </row>
    <row r="34" customFormat="false" ht="15" hidden="false" customHeight="false" outlineLevel="0" collapsed="false">
      <c r="A34" s="6"/>
      <c r="B34" s="5" t="str">
        <f aca="false">IF($A34="","",COUNTIF(Outreach!$E$6:$E$405,"*"&amp;$A34&amp;"*"))</f>
        <v/>
      </c>
      <c r="C34" s="6"/>
    </row>
    <row r="35" customFormat="false" ht="15" hidden="false" customHeight="false" outlineLevel="0" collapsed="false">
      <c r="A35" s="6"/>
      <c r="B35" s="5" t="str">
        <f aca="false">IF($A35="","",COUNTIF(Outreach!$E$6:$E$405,"*"&amp;$A35&amp;"*"))</f>
        <v/>
      </c>
      <c r="C35" s="6"/>
    </row>
    <row r="36" customFormat="false" ht="15" hidden="false" customHeight="false" outlineLevel="0" collapsed="false">
      <c r="A36" s="6"/>
      <c r="B36" s="5" t="str">
        <f aca="false">IF($A36="","",COUNTIF(Outreach!$E$6:$E$405,"*"&amp;$A36&amp;"*"))</f>
        <v/>
      </c>
      <c r="C36" s="6"/>
    </row>
    <row r="37" customFormat="false" ht="15" hidden="false" customHeight="false" outlineLevel="0" collapsed="false">
      <c r="A37" s="6"/>
      <c r="B37" s="5" t="str">
        <f aca="false">IF($A37="","",COUNTIF(Outreach!$E$6:$E$405,"*"&amp;$A37&amp;"*"))</f>
        <v/>
      </c>
      <c r="C37" s="6"/>
    </row>
    <row r="38" customFormat="false" ht="15" hidden="false" customHeight="false" outlineLevel="0" collapsed="false">
      <c r="A38" s="6"/>
      <c r="B38" s="5" t="str">
        <f aca="false">IF($A38="","",COUNTIF(Outreach!$E$6:$E$405,"*"&amp;$A38&amp;"*"))</f>
        <v/>
      </c>
      <c r="C38" s="6"/>
    </row>
    <row r="39" customFormat="false" ht="15" hidden="false" customHeight="false" outlineLevel="0" collapsed="false">
      <c r="A39" s="6"/>
      <c r="B39" s="5" t="str">
        <f aca="false">IF($A39="","",COUNTIF(Outreach!$E$6:$E$405,"*"&amp;$A39&amp;"*"))</f>
        <v/>
      </c>
      <c r="C3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2026-08-31T16:37:57Z</dcterms:created>
  <dc:creator>openpyxl</dc:creator>
  <dc:description/>
  <dc:language>en-US</dc:language>
  <cp:lastModifiedBy/>
  <dcterms:modified xsi:type="dcterms:W3CDTF">2026-08-31T16:37:57Z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