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Who to contact" sheetId="2" state="visible" r:id="rId4"/>
    <sheet name="Campus" sheetId="3" state="visible" r:id="rId5"/>
    <sheet name="Creators" sheetId="4" state="visible" r:id="rId6"/>
    <sheet name="Communities" sheetId="5" state="visible" r:id="rId7"/>
    <sheet name="Partners" sheetId="6" state="visible" r:id="rId8"/>
    <sheet name="Dashboard" sheetId="7" state="visible" r:id="rId9"/>
  </sheets>
  <definedNames>
    <definedName function="false" hidden="true" localSheetId="2" name="_xlnm._FilterDatabase" vbProcedure="false">Campus!$A$4:$Q$16</definedName>
    <definedName function="false" hidden="true" localSheetId="4" name="_xlnm._FilterDatabase" vbProcedure="false">Communities!$A$4:$Q$23</definedName>
    <definedName function="false" hidden="true" localSheetId="3" name="_xlnm._FilterDatabase" vbProcedure="false">Creators!$A$4:$Q$16</definedName>
    <definedName function="false" hidden="true" localSheetId="5" name="_xlnm._FilterDatabase" vbProcedure="false">Partners!$A$4:$Q$24</definedName>
    <definedName function="false" hidden="true" localSheetId="1" name="_xlnm._FilterDatabase" vbProcedure="false">'Who to contact'!$A$4:$N$28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<sst xmlns="http://schemas.openxmlformats.org/spreadsheetml/2006/main" count="1203" uniqueCount="736">
  <si>
    <t xml:space="preserve">SwapSutra - lead list</t>
  </si>
  <si>
    <t xml:space="preserve">Prepared 26 August 2026. Four segments, scored and prioritised, ready to work through.</t>
  </si>
  <si>
    <t xml:space="preserve">How to use this</t>
  </si>
  <si>
    <t xml:space="preserve">1. Sort by Priority</t>
  </si>
  <si>
    <t xml:space="preserve">Every lead has a Fit score (1-5) that you can change. Priority updates automatically: 5 = P1 (contact now), 4 = P2 (this month), 3 or less = P3.</t>
  </si>
  <si>
    <t xml:space="preserve">2. Work one segment at a time</t>
  </si>
  <si>
    <t xml:space="preserve">Communities convert fastest and cost nothing. Start there, then Partners, then Campus, then Creators (which usually costs money).</t>
  </si>
  <si>
    <t xml:space="preserve">3. Fill the yellow cells</t>
  </si>
  <si>
    <t xml:space="preserve">Status, Owner and Next action date are yours to maintain. The Dashboard counts them for you.</t>
  </si>
  <si>
    <t xml:space="preserve">4. Verify before contacting</t>
  </si>
  <si>
    <t xml:space="preserve">The Verified column says whether the handle/link was confirmed. 'Verify handle' means the organisation is real but you should search for the current handle first - student society handles change every academic year.</t>
  </si>
  <si>
    <t xml:space="preserve">Recommended sequence</t>
  </si>
  <si>
    <t xml:space="preserve">Weeks 1-2</t>
  </si>
  <si>
    <t xml:space="preserve">Silent reading communities (Cubbon Reads, Pune Reads, Bandra Reads, Hyderabad Reads). Show up in person, offer a free swap corner, ask for nothing.</t>
  </si>
  <si>
    <t xml:space="preserve">Weeks 3-4</t>
  </si>
  <si>
    <t xml:space="preserve">Bookstore and book-cafe partners in the same cities. A physical handover point is the biggest trust unlock for a swap product.</t>
  </si>
  <si>
    <t xml:space="preserve">Weeks 5-8</t>
  </si>
  <si>
    <t xml:space="preserve">Campus ambassadors, timed to the start of a semester. Residential campuses first - handover friction is lowest there.</t>
  </si>
  <si>
    <t xml:space="preserve">Week 9+</t>
  </si>
  <si>
    <t xml:space="preserve">Creators, once you have real swap stories and screenshots to show. Micro-creators (20k-150k) convert better per rupee than the 300k+ accounts.</t>
  </si>
  <si>
    <t xml:space="preserve">A note on the pitch</t>
  </si>
  <si>
    <t xml:space="preserve">Lead with utility</t>
  </si>
  <si>
    <t xml:space="preserve">Communities are wary of being marketed at. Every 'suggested first touch' in this file offers them something for free before asking for anything.</t>
  </si>
  <si>
    <t xml:space="preserve">Lead with money saved</t>
  </si>
  <si>
    <t xml:space="preserve">The Broke Bibliophiles chapters, students, and used-bookstore customers all respond to cost-per-book, not to features.</t>
  </si>
  <si>
    <t xml:space="preserve">Membership pricing</t>
  </si>
  <si>
    <t xml:space="preserve">The Indian Book Club charges Rs 99/month for a reading community with no swapping. That is useful evidence that Rs 49/month is priced to convert - and worth checking before you launch paid.</t>
  </si>
  <si>
    <t xml:space="preserve">Sources</t>
  </si>
  <si>
    <t xml:space="preserve">Compiled from Splainer's book club directory, Open Magazine's reading-communities feature, LBB Delhi, Miss Book Thief's bookstagrammer list, Meetup, Goodreads and the bookstores' own sites. Every link in the Link column was taken from a published source; see the Verified column.</t>
  </si>
  <si>
    <t xml:space="preserve">Who to actually contact</t>
  </si>
  <si>
    <t xml:space="preserve">Named people and published business contacts only. Nothing here is scraped personal data - every entry links to the page it came from. Where a column says 'Not published', that is the honest answer: Instagram DM is the real channel for that lead.</t>
  </si>
  <si>
    <t xml:space="preserve">#</t>
  </si>
  <si>
    <t xml:space="preserve">Organisation</t>
  </si>
  <si>
    <t xml:space="preserve">City</t>
  </si>
  <si>
    <t xml:space="preserve">Person</t>
  </si>
  <si>
    <t xml:space="preserve">Role</t>
  </si>
  <si>
    <t xml:space="preserve">Best channel</t>
  </si>
  <si>
    <t xml:space="preserve">Email</t>
  </si>
  <si>
    <t xml:space="preserve">Phone / WhatsApp</t>
  </si>
  <si>
    <t xml:space="preserve">Other handles</t>
  </si>
  <si>
    <t xml:space="preserve">How solid is this contact</t>
  </si>
  <si>
    <t xml:space="preserve">How to open with THIS person</t>
  </si>
  <si>
    <t xml:space="preserve">Source</t>
  </si>
  <si>
    <t xml:space="preserve">Status</t>
  </si>
  <si>
    <t xml:space="preserve">Contacted on</t>
  </si>
  <si>
    <t xml:space="preserve">Champaca Bookstore, Library &amp; Cafe</t>
  </si>
  <si>
    <t xml:space="preserve">Bengaluru</t>
  </si>
  <si>
    <t xml:space="preserve">Radhika Timbadia</t>
  </si>
  <si>
    <t xml:space="preserve">Founder (ecologist by training)</t>
  </si>
  <si>
    <t xml:space="preserve">hello@champaca.in</t>
  </si>
  <si>
    <t xml:space="preserve">+91 93536 08989</t>
  </si>
  <si>
    <t xml:space="preserve">IG @champacabooks</t>
  </si>
  <si>
    <t xml:space="preserve">Store email published on site</t>
  </si>
  <si>
    <t xml:space="preserve">They already run a PAID lending library. Do not pitch swapping - pitch yourself as the software layer over the lending members they already have.</t>
  </si>
  <si>
    <t xml:space="preserve">https://champaca.in/pages/contact-us</t>
  </si>
  <si>
    <t xml:space="preserve">Not started</t>
  </si>
  <si>
    <t xml:space="preserve">Kunzum Books</t>
  </si>
  <si>
    <t xml:space="preserve">Delhi NCR</t>
  </si>
  <si>
    <t xml:space="preserve">Ajay Jain</t>
  </si>
  <si>
    <t xml:space="preserve">Founder</t>
  </si>
  <si>
    <t xml:space="preserve">WhatsApp then email</t>
  </si>
  <si>
    <t xml:space="preserve">books@kunzum.com</t>
  </si>
  <si>
    <t xml:space="preserve">+91 92057 77295</t>
  </si>
  <si>
    <t xml:space="preserve">WhatsApp +91 88002 00280 (no calls); GK-II +91 88002 00269, HKV +91 88002 00268</t>
  </si>
  <si>
    <t xml:space="preserve">All published on kunzum.shop/pages/contact</t>
  </si>
  <si>
    <t xml:space="preserve">Ajay is a journalist-turned-bookseller who writes publicly about reviving reading culture. Lead with the culture argument, not the app. Multiple outlets = one yes gives you swap points across Delhi.</t>
  </si>
  <si>
    <t xml:space="preserve">https://kunzum.shop/pages/contact</t>
  </si>
  <si>
    <t xml:space="preserve">Kitab Khana</t>
  </si>
  <si>
    <t xml:space="preserve">Mumbai</t>
  </si>
  <si>
    <t xml:space="preserve">Amrita Somaiya</t>
  </si>
  <si>
    <t xml:space="preserve">Founder &amp; Director</t>
  </si>
  <si>
    <t xml:space="preserve">Store landline then email</t>
  </si>
  <si>
    <t xml:space="preserve">Via kitabkhana.in contact form</t>
  </si>
  <si>
    <t xml:space="preserve">Fort store landline on site</t>
  </si>
  <si>
    <t xml:space="preserve">IG @kitabkhana</t>
  </si>
  <si>
    <t xml:space="preserve">Founder name verified; email not published - use the site form or call the store</t>
  </si>
  <si>
    <t xml:space="preserve">Runs the paid Kitab Klub (Rs 200/event). Ask to co-host one session before asking for a shelf.</t>
  </si>
  <si>
    <t xml:space="preserve">https://www.kitabkhana.in/en/contact-us</t>
  </si>
  <si>
    <t xml:space="preserve">Atta Galatta</t>
  </si>
  <si>
    <t xml:space="preserve">Subodh Sankar</t>
  </si>
  <si>
    <t xml:space="preserve">Co-founder (with Lakshmi Sankar)</t>
  </si>
  <si>
    <t xml:space="preserve">Phone</t>
  </si>
  <si>
    <t xml:space="preserve">No email published on site</t>
  </si>
  <si>
    <t xml:space="preserve">+91 96325 10126 / +91 80 4432 3614</t>
  </si>
  <si>
    <t xml:space="preserve">IG @attagalatta</t>
  </si>
  <si>
    <t xml:space="preserve">Phones verified on site; no public email</t>
  </si>
  <si>
    <t xml:space="preserve">2000+ events hosted and bookstore partner to Bangalore Lit Fest. He programmes constantly and needs content - offer a recurring monthly slot, not a one-off.</t>
  </si>
  <si>
    <t xml:space="preserve">https://www.attagalatta.com/</t>
  </si>
  <si>
    <t xml:space="preserve">Pagdandi Bookstore &amp; Coffee</t>
  </si>
  <si>
    <t xml:space="preserve">Pune</t>
  </si>
  <si>
    <t xml:space="preserve">Neha &amp; Vishal Pipraiya</t>
  </si>
  <si>
    <t xml:space="preserve">Co-founders</t>
  </si>
  <si>
    <t xml:space="preserve">WhatsApp</t>
  </si>
  <si>
    <t xml:space="preserve">contactus@pagdandi.org</t>
  </si>
  <si>
    <t xml:space="preserve">+91 77559 08525 (WhatsApp)</t>
  </si>
  <si>
    <t xml:space="preserve">Baner, Pune</t>
  </si>
  <si>
    <t xml:space="preserve">Both published on pagdandi.org</t>
  </si>
  <si>
    <t xml:space="preserve">Husband-wife founders who quit corporate jobs for this. They respond to people who have actually visited. Go in person first if you can.</t>
  </si>
  <si>
    <t xml:space="preserve">https://pagdandi.org/aboutus/</t>
  </si>
  <si>
    <t xml:space="preserve">Blossom Book House</t>
  </si>
  <si>
    <t xml:space="preserve">Mayi Gowda</t>
  </si>
  <si>
    <t xml:space="preserve">Owner</t>
  </si>
  <si>
    <t xml:space="preserve">WhatsApp / walk in</t>
  </si>
  <si>
    <t xml:space="preserve">No email published</t>
  </si>
  <si>
    <t xml:space="preserve">+91 94493 73202 (WhatsApp)</t>
  </si>
  <si>
    <t xml:space="preserve">IG @blossombookhouse</t>
  </si>
  <si>
    <t xml:space="preserve">Number published on their own site</t>
  </si>
  <si>
    <t xml:space="preserve">Three floors of used books on Church Street and enormous footfall. He built it from a pavement stall - practical, not corporate. Walk in, do not email.</t>
  </si>
  <si>
    <t xml:space="preserve">https://blossombookhouse.in/pages/about-us</t>
  </si>
  <si>
    <t xml:space="preserve">Bahrisons Booksellers - Khan Market (HQ)</t>
  </si>
  <si>
    <t xml:space="preserve">Bahri family (Anuj Bahri)</t>
  </si>
  <si>
    <t xml:space="preserve">Owners</t>
  </si>
  <si>
    <t xml:space="preserve">Email + landline</t>
  </si>
  <si>
    <t xml:space="preserve">bahrisons@outlook.com</t>
  </si>
  <si>
    <t xml:space="preserve">011 2469 4855 / 011 4175 7112</t>
  </si>
  <si>
    <t xml:space="preserve">Saket +91 97119 63411; Gurugram +91 76786 09336; Vasant Kunj +91 95406 10800</t>
  </si>
  <si>
    <t xml:space="preserve">All published on booksatbahri.com</t>
  </si>
  <si>
    <t xml:space="preserve">Chain with 6 NCR outlets - one agreement gives you handover points citywide. Slowest to close: start now.</t>
  </si>
  <si>
    <t xml:space="preserve">https://www.booksatbahri.com/content/contactus/</t>
  </si>
  <si>
    <t xml:space="preserve">Luna Books</t>
  </si>
  <si>
    <t xml:space="preserve">Hyderabad</t>
  </si>
  <si>
    <t xml:space="preserve">Shilpa Sudhakar</t>
  </si>
  <si>
    <t xml:space="preserve">Instagram DM</t>
  </si>
  <si>
    <t xml:space="preserve">Not published</t>
  </si>
  <si>
    <t xml:space="preserve">IG - search Luna Books Hyderabad</t>
  </si>
  <si>
    <t xml:space="preserve">Founder verified via Scroll.in profile; contact not published</t>
  </si>
  <si>
    <t xml:space="preserve">She opened Luna specifically to help people discover books beyond bestsellers. Frame SwapSutra as discovery, not as cheap.</t>
  </si>
  <si>
    <t xml:space="preserve">https://scroll.in/article/1037700/we-want-to-help-people-to-discover-new-books-hyderabad-gets-a-new-independent-bookshop</t>
  </si>
  <si>
    <t xml:space="preserve">Akshara Books</t>
  </si>
  <si>
    <t xml:space="preserve">Store manager</t>
  </si>
  <si>
    <t xml:space="preserve">Owner/manager</t>
  </si>
  <si>
    <t xml:space="preserve">Instagram DM / walk in</t>
  </si>
  <si>
    <t xml:space="preserve">See Justdial/LBB listing</t>
  </si>
  <si>
    <t xml:space="preserve">IG @aksharabookstore</t>
  </si>
  <si>
    <t xml:space="preserve">IG handle verified</t>
  </si>
  <si>
    <t xml:space="preserve">Hosts literary events already. Offer to programme one evening a month.</t>
  </si>
  <si>
    <t xml:space="preserve">https://www.instagram.com/aksharabookstore/</t>
  </si>
  <si>
    <t xml:space="preserve">The White Crow Books &amp; Coffee</t>
  </si>
  <si>
    <t xml:space="preserve">Manager</t>
  </si>
  <si>
    <t xml:space="preserve">Via Zomato/District listing</t>
  </si>
  <si>
    <t xml:space="preserve">IG @thewhitecrowbooksandcoffee</t>
  </si>
  <si>
    <t xml:space="preserve">IG verified; located at Jio World Drive, BKC</t>
  </si>
  <si>
    <t xml:space="preserve">Runs the TWC Book Club monthly. Ask to co-host, then ask for the shelf.</t>
  </si>
  <si>
    <t xml:space="preserve">https://www.instagram.com/thewhitecrowbooksandcoffee/</t>
  </si>
  <si>
    <t xml:space="preserve">Cubbon Reads</t>
  </si>
  <si>
    <t xml:space="preserve">Shruti Sah &amp; Harsh Snehanshu</t>
  </si>
  <si>
    <t xml:space="preserve">Founders</t>
  </si>
  <si>
    <t xml:space="preserve">Instagram DM + show up</t>
  </si>
  <si>
    <t xml:space="preserve">-</t>
  </si>
  <si>
    <t xml:space="preserve">IG @cubbonreads</t>
  </si>
  <si>
    <t xml:space="preserve">Founders named in Open Magazine feature</t>
  </si>
  <si>
    <t xml:space="preserve">They also built Bookmark, a readers' dating app - they are product people, so they will get what you are building. Best single relationship on this whole list. Show up at Cubbon Park on a Saturday first.</t>
  </si>
  <si>
    <t xml:space="preserve">https://openthemagazine.com/books/book-clubs-literary-company</t>
  </si>
  <si>
    <t xml:space="preserve">Broke Bibliophiles Bangalore</t>
  </si>
  <si>
    <t xml:space="preserve">Vinay Leo</t>
  </si>
  <si>
    <t xml:space="preserve">Co-runs the chapter</t>
  </si>
  <si>
    <t xml:space="preserve">X / Instagram DM</t>
  </si>
  <si>
    <t xml:space="preserve">X @BibliophilesBlr</t>
  </si>
  <si>
    <t xml:space="preserve">Named in Open Magazine feature</t>
  </si>
  <si>
    <t xml:space="preserve">The name IS your pitch. Also moderates Just One More Page book club - two communities, one person. They meet at Bookworm, so this unlocks a bookstore too.</t>
  </si>
  <si>
    <t xml:space="preserve">https://x.com/BibliophilesBlr</t>
  </si>
  <si>
    <t xml:space="preserve">Broke Bibliophiles - Bombay Chapter</t>
  </si>
  <si>
    <t xml:space="preserve">Chapter organisers</t>
  </si>
  <si>
    <t xml:space="preserve">Volunteer organisers</t>
  </si>
  <si>
    <t xml:space="preserve">IG @brokebombay</t>
  </si>
  <si>
    <t xml:space="preserve">Handle verified via Splainer directory</t>
  </si>
  <si>
    <t xml:space="preserve">Highest message-market fit on the list. Lead with rupees saved per book, nothing else.</t>
  </si>
  <si>
    <t xml:space="preserve">https://www.instagram.com/brokebombay/</t>
  </si>
  <si>
    <t xml:space="preserve">Powai Reads</t>
  </si>
  <si>
    <t xml:space="preserve">Ananya Bhardwaj</t>
  </si>
  <si>
    <t xml:space="preserve">Search: Powai Reads</t>
  </si>
  <si>
    <t xml:space="preserve">Founder named in Open Magazine; handle needs verifying</t>
  </si>
  <si>
    <t xml:space="preserve">IIT Bombay is next door - pitch the community and the campus in the same conversation.</t>
  </si>
  <si>
    <t xml:space="preserve">Pune Reads</t>
  </si>
  <si>
    <t xml:space="preserve">Organiser team</t>
  </si>
  <si>
    <t xml:space="preserve">IG @pune.reads</t>
  </si>
  <si>
    <t xml:space="preserve">Handle verified</t>
  </si>
  <si>
    <t xml:space="preserve">National press coverage already. Offer a free swap corner at a Sunday session and ask for nothing in return the first time.</t>
  </si>
  <si>
    <t xml:space="preserve">https://www.instagram.com/pune.reads/</t>
  </si>
  <si>
    <t xml:space="preserve">Hyderabad Reads</t>
  </si>
  <si>
    <t xml:space="preserve">IG @hyderabadreads</t>
  </si>
  <si>
    <t xml:space="preserve">Your beachhead for the whole Hyderabad market. Ask them for intros to campus organisers.</t>
  </si>
  <si>
    <t xml:space="preserve">https://www.instagram.com/hyderabadreads/</t>
  </si>
  <si>
    <t xml:space="preserve">Bandra Reads</t>
  </si>
  <si>
    <t xml:space="preserve">IG @bandrareads</t>
  </si>
  <si>
    <t xml:space="preserve">Sundays at Joggers Park. Sponsor chai for one session in exchange for a swap table.</t>
  </si>
  <si>
    <t xml:space="preserve">https://www.instagram.com/bandrareads/</t>
  </si>
  <si>
    <t xml:space="preserve">Kitaab (Delhi)</t>
  </si>
  <si>
    <t xml:space="preserve">Sneha &amp; Navya Misran</t>
  </si>
  <si>
    <t xml:space="preserve">Co-founders (sisters), since 2013</t>
  </si>
  <si>
    <t xml:space="preserve">Search: Kitaab Delhi</t>
  </si>
  <si>
    <t xml:space="preserve">Founders named in Open Magazine</t>
  </si>
  <si>
    <t xml:space="preserve">Has an NGO arm - route a book donation drive through SwapSutra listings. CSR angle, not growth angle.</t>
  </si>
  <si>
    <t xml:space="preserve">Miranda House, University of Delhi</t>
  </si>
  <si>
    <t xml:space="preserve">Principal's office / Literary Society</t>
  </si>
  <si>
    <t xml:space="preserve">Faculty convenor route</t>
  </si>
  <si>
    <t xml:space="preserve">principal@mirandahouse.ac.in</t>
  </si>
  <si>
    <t xml:space="preserve">+91 11 2766 7367</t>
  </si>
  <si>
    <t xml:space="preserve">IG @literarysocietymh; admin: jyoti.prakash@mirandahouse.ac.in</t>
  </si>
  <si>
    <t xml:space="preserve">All published on mirandahouse.ac.in</t>
  </si>
  <si>
    <t xml:space="preserve">Two routes: DM the society for speed, email the Principal's office for legitimacy. Do both - students need faculty sign-off for anything on campus.</t>
  </si>
  <si>
    <t xml:space="preserve">https://www.mirandahouse.ac.in/administration/administration.php</t>
  </si>
  <si>
    <t xml:space="preserve">St. Stephen's College - English Literary Society</t>
  </si>
  <si>
    <t xml:space="preserve">Society convenor (faculty)</t>
  </si>
  <si>
    <t xml:space="preserve">Faculty convenor</t>
  </si>
  <si>
    <t xml:space="preserve">Email via department page</t>
  </si>
  <si>
    <t xml:space="preserve">See ststephens.edu/english-lit-soc</t>
  </si>
  <si>
    <t xml:space="preserve">College landline on site</t>
  </si>
  <si>
    <t xml:space="preserve">Society page verified on the college site</t>
  </si>
  <si>
    <t xml:space="preserve">Formal, letterhead-style email. This is not an Instagram DM audience.</t>
  </si>
  <si>
    <t xml:space="preserve">https://www.ststephens.edu/english-lit-soc/</t>
  </si>
  <si>
    <t xml:space="preserve">The Literary Club, IIT Delhi</t>
  </si>
  <si>
    <t xml:space="preserve">Club secretary (student)</t>
  </si>
  <si>
    <t xml:space="preserve">Student office-bearer</t>
  </si>
  <si>
    <t xml:space="preserve">Via club IG bio</t>
  </si>
  <si>
    <t xml:space="preserve">IG @litclub.iitd</t>
  </si>
  <si>
    <t xml:space="preserve">Residential campus = lowest handover friction anywhere. Pitch a hostel swap pilot you can measure.</t>
  </si>
  <si>
    <t xml:space="preserve">https://www.instagram.com/litclub.iitd/</t>
  </si>
  <si>
    <t xml:space="preserve">Christ University - English &amp; Cultural Studies</t>
  </si>
  <si>
    <t xml:space="preserve">Department office</t>
  </si>
  <si>
    <t xml:space="preserve">Head of Department</t>
  </si>
  <si>
    <t xml:space="preserve">Via christuniversity.in dept page</t>
  </si>
  <si>
    <t xml:space="preserve">IG @ecs.christ.bangalore</t>
  </si>
  <si>
    <t xml:space="preserve">Department page and IG both verified</t>
  </si>
  <si>
    <t xml:space="preserve">Very large student body. The department Instagram is run by students - fastest route in.</t>
  </si>
  <si>
    <t xml:space="preserve">https://christuniversity.in/departments/main%20campus/school%20of%20arts%20and%20humanities/english%20and%20cultural%20studies</t>
  </si>
  <si>
    <t xml:space="preserve">The Indian Book Club</t>
  </si>
  <si>
    <t xml:space="preserve">Online</t>
  </si>
  <si>
    <t xml:space="preserve">Team</t>
  </si>
  <si>
    <t xml:space="preserve">Via IG bio</t>
  </si>
  <si>
    <t xml:space="preserve">IG @indiareadwithus</t>
  </si>
  <si>
    <t xml:space="preserve">Handle verified via Splainer</t>
  </si>
  <si>
    <t xml:space="preserve">They charge Rs 99/month for a community with no swapping. Talk to them as a peer, and check your Rs 49 pricing against what they have learned.</t>
  </si>
  <si>
    <t xml:space="preserve">https://www.instagram.com/indiareadwithus/</t>
  </si>
  <si>
    <t xml:space="preserve">Jaipur Literature Festival (Teamwork Arts)</t>
  </si>
  <si>
    <t xml:space="preserve">Pan-India</t>
  </si>
  <si>
    <t xml:space="preserve">Partnerships team</t>
  </si>
  <si>
    <t xml:space="preserve">Festival partnerships</t>
  </si>
  <si>
    <t xml:space="preserve">Website enquiry</t>
  </si>
  <si>
    <t xml:space="preserve">Via jaipurliteraturefestival.org</t>
  </si>
  <si>
    <t xml:space="preserve">Now expanding to 7 cities</t>
  </si>
  <si>
    <t xml:space="preserve">No direct partnership email published - use the site enquiry route</t>
  </si>
  <si>
    <t xml:space="preserve">JLF 2027 is 14-18 Jan at Hotel Clarks Amer. Community/startup partner slots close months ahead - enquire by September.</t>
  </si>
  <si>
    <t xml:space="preserve">https://www.jaipurliteraturefestival.org/friend-of-the-festival</t>
  </si>
  <si>
    <t xml:space="preserve">Green in the Email column = a real published inbox you can write to today.  Amber = no public email; use the phone, WhatsApp or Instagram DM in the next columns.</t>
  </si>
  <si>
    <t xml:space="preserve">Campus &amp; literary society leads</t>
  </si>
  <si>
    <t xml:space="preserve">Colleges and student societies for the SwapSutra Campus Ambassador programme.</t>
  </si>
  <si>
    <t xml:space="preserve">ID</t>
  </si>
  <si>
    <t xml:space="preserve">Segment</t>
  </si>
  <si>
    <t xml:space="preserve">Lead name</t>
  </si>
  <si>
    <t xml:space="preserve">City / Reach</t>
  </si>
  <si>
    <t xml:space="preserve">Channel</t>
  </si>
  <si>
    <t xml:space="preserve">Handle / Contact</t>
  </si>
  <si>
    <t xml:space="preserve">Link</t>
  </si>
  <si>
    <t xml:space="preserve">Est. audience</t>
  </si>
  <si>
    <t xml:space="preserve">Fit (1-5)</t>
  </si>
  <si>
    <t xml:space="preserve">Priority</t>
  </si>
  <si>
    <t xml:space="preserve">Why they fit SwapSutra</t>
  </si>
  <si>
    <t xml:space="preserve">Suggested first touch</t>
  </si>
  <si>
    <t xml:space="preserve">Verified?</t>
  </si>
  <si>
    <t xml:space="preserve">Next action date</t>
  </si>
  <si>
    <t xml:space="preserve">Notes</t>
  </si>
  <si>
    <t xml:space="preserve">CA01</t>
  </si>
  <si>
    <t xml:space="preserve">Campus</t>
  </si>
  <si>
    <t xml:space="preserve">The Literary Society, Miranda House (DU)</t>
  </si>
  <si>
    <t xml:space="preserve">Instagram</t>
  </si>
  <si>
    <t xml:space="preserve">@literarysocietymh</t>
  </si>
  <si>
    <t xml:space="preserve">https://www.instagram.com/literarysocietymh/</t>
  </si>
  <si>
    <t xml:space="preserve">~5-10k</t>
  </si>
  <si>
    <t xml:space="preserve">Large, active English lit society at a DU women's college; members are heavy readers with limited budgets - exactly the swap/lend use case.</t>
  </si>
  <si>
    <t xml:space="preserve">DM offering a free SwapSutra campus chapter + 2 Campus Ambassador slots with membership waived for the society's core team.</t>
  </si>
  <si>
    <t xml:space="preserve">Verified</t>
  </si>
  <si>
    <t xml:space="preserve">DU north campus cluster - pair with Hindu, LSR, SRCC outreach.</t>
  </si>
  <si>
    <t xml:space="preserve">CA02</t>
  </si>
  <si>
    <t xml:space="preserve">The English Literary Society, St. Stephen's College</t>
  </si>
  <si>
    <t xml:space="preserve">Website / email</t>
  </si>
  <si>
    <t xml:space="preserve">Via college dept. contact page</t>
  </si>
  <si>
    <t xml:space="preserve">~2-5k</t>
  </si>
  <si>
    <t xml:space="preserve">One of India's oldest college lit societies; high-signal endorsement that other DU societies follow.</t>
  </si>
  <si>
    <t xml:space="preserve">Formal email to the society convenor proposing a semester book-swap drive + a SwapSutra-sponsored reading circle.</t>
  </si>
  <si>
    <t xml:space="preserve">CA03</t>
  </si>
  <si>
    <t xml:space="preserve">@litclub.iitd</t>
  </si>
  <si>
    <t xml:space="preserve">~5k</t>
  </si>
  <si>
    <t xml:space="preserve">Hostel-based student body with dense physical proximity - ideal for in-person handovers and proof-based swaps.</t>
  </si>
  <si>
    <t xml:space="preserve">Pitch a hostel-wide 'swap your semester books' week; offer the club a co-branded event page.</t>
  </si>
  <si>
    <t xml:space="preserve">Same play repeats at IIT Bombay, IIT Madras, BITS.</t>
  </si>
  <si>
    <t xml:space="preserve">CA04</t>
  </si>
  <si>
    <t xml:space="preserve">Lady Shri Ram College (LSR) - literary &amp; debating societies</t>
  </si>
  <si>
    <t xml:space="preserve">Search: LSR lit soc handle</t>
  </si>
  <si>
    <t xml:space="preserve">https://lsr.edu.in/</t>
  </si>
  <si>
    <t xml:space="preserve">Strong humanities cohort, high engagement with reading culture and community events.</t>
  </si>
  <si>
    <t xml:space="preserve">Email the Students' Union + DM the society; lead with the Campus Ambassador programme.</t>
  </si>
  <si>
    <t xml:space="preserve">Verify handle</t>
  </si>
  <si>
    <t xml:space="preserve">Handle changes each academic year - verify before outreach.</t>
  </si>
  <si>
    <t xml:space="preserve">CA05</t>
  </si>
  <si>
    <t xml:space="preserve">Hindu College / Hansraj / Kirori Mal literary societies</t>
  </si>
  <si>
    <t xml:space="preserve">Search per college</t>
  </si>
  <si>
    <t xml:space="preserve">https://www.du.ac.in/</t>
  </si>
  <si>
    <t xml:space="preserve">~10k combined</t>
  </si>
  <si>
    <t xml:space="preserve">Three high-footfall DU colleges within walking distance - one ambassador can service all three.</t>
  </si>
  <si>
    <t xml:space="preserve">Cluster pitch: one ambassador, three campuses, shared swap point.</t>
  </si>
  <si>
    <t xml:space="preserve">CA06</t>
  </si>
  <si>
    <t xml:space="preserve">St. Xavier's College, Mumbai - literary society</t>
  </si>
  <si>
    <t xml:space="preserve">Search: Xaviers lit soc</t>
  </si>
  <si>
    <t xml:space="preserve">https://xaviers.edu.in/</t>
  </si>
  <si>
    <t xml:space="preserve">Anchor Mumbai campus with an established fest and literary culture; feeds the South Mumbai bookstore corridor.</t>
  </si>
  <si>
    <t xml:space="preserve">Approach during fest planning season with a sponsorship-in-kind offer (book swap stall).</t>
  </si>
  <si>
    <t xml:space="preserve">Pair with Kitab Khana / Trilogy partnership for a joint event.</t>
  </si>
  <si>
    <t xml:space="preserve">CA07</t>
  </si>
  <si>
    <t xml:space="preserve">Sophia / Jai Hind / KC College literary clubs</t>
  </si>
  <si>
    <t xml:space="preserve">~8k combined</t>
  </si>
  <si>
    <t xml:space="preserve">Churchgate-Marine Lines cluster; students already commute past indie bookstores.</t>
  </si>
  <si>
    <t xml:space="preserve">Single ambassador covering the Churchgate cluster.</t>
  </si>
  <si>
    <t xml:space="preserve">CA08</t>
  </si>
  <si>
    <t xml:space="preserve">Fergusson College &amp; Symbiosis, Pune</t>
  </si>
  <si>
    <t xml:space="preserve">Pune is India's densest student city and already has a proven public reading culture (Pune Reads).</t>
  </si>
  <si>
    <t xml:space="preserve">Co-host a campus edition of a Pune Reads style silent reading + swap session.</t>
  </si>
  <si>
    <t xml:space="preserve">Highest ambassador-conversion potential of any city.</t>
  </si>
  <si>
    <t xml:space="preserve">CA09</t>
  </si>
  <si>
    <t xml:space="preserve">Christ University &amp; Mount Carmel, Bengaluru</t>
  </si>
  <si>
    <t xml:space="preserve">~15k combined</t>
  </si>
  <si>
    <t xml:space="preserve">Very large student bodies, strong club culture, and a city with the most active reading communities in India.</t>
  </si>
  <si>
    <t xml:space="preserve">Pitch a Cubbon Reads x campus crossover; ambassadors run the campus swap shelf.</t>
  </si>
  <si>
    <t xml:space="preserve">CA10</t>
  </si>
  <si>
    <t xml:space="preserve">St. Joseph's University &amp; NLSIU, Bengaluru</t>
  </si>
  <si>
    <t xml:space="preserve">~6k combined</t>
  </si>
  <si>
    <t xml:space="preserve">Law and humanities students buy expensive textbooks - lending and renting are immediate value props.</t>
  </si>
  <si>
    <t xml:space="preserve">Lead with textbook lending/renting rather than leisure reading.</t>
  </si>
  <si>
    <t xml:space="preserve">Textbook angle is the strongest paid-conversion argument.</t>
  </si>
  <si>
    <t xml:space="preserve">CA11</t>
  </si>
  <si>
    <t xml:space="preserve">Osmania University &amp; University of Hyderabad lit clubs</t>
  </si>
  <si>
    <t xml:space="preserve">Large residential campuses; Hyderabad Reads already proves local demand.</t>
  </si>
  <si>
    <t xml:space="preserve">Approach via Hyderabad Reads for a warm intro to student organisers.</t>
  </si>
  <si>
    <t xml:space="preserve">CA12</t>
  </si>
  <si>
    <t xml:space="preserve">IIT Bombay / IIT Madras / BITS Pilani literary clubs</t>
  </si>
  <si>
    <t xml:space="preserve">Search per campus</t>
  </si>
  <si>
    <t xml:space="preserve">~20k combined</t>
  </si>
  <si>
    <t xml:space="preserve">Fully residential campuses = zero-friction physical handover, the hardest part of any swap product.</t>
  </si>
  <si>
    <t xml:space="preserve">Offer a campus-only swap pilot with proof-of-handover built in; measure and publish the results.</t>
  </si>
  <si>
    <t xml:space="preserve">Best place to prove the handover flow works before scaling.</t>
  </si>
  <si>
    <t xml:space="preserve">Blue cells = your inputs (change the Fit score and it re-prioritises). Yellow cells = fill in as you work the list. Priority is a formula - do not overwrite.</t>
  </si>
  <si>
    <t xml:space="preserve">Bookstagram, BookTube &amp; newsletter creators</t>
  </si>
  <si>
    <t xml:space="preserve">Reader-audience creators for paid, barter or partnership collaborations.</t>
  </si>
  <si>
    <t xml:space="preserve">CR01</t>
  </si>
  <si>
    <t xml:space="preserve">Creator</t>
  </si>
  <si>
    <t xml:space="preserve">Suruchi Garg - Bookly Reads</t>
  </si>
  <si>
    <t xml:space="preserve">@booklyreads</t>
  </si>
  <si>
    <t xml:space="preserve">https://www.instagram.com/booklyreads/</t>
  </si>
  <si>
    <t xml:space="preserve">400k+</t>
  </si>
  <si>
    <t xml:space="preserve">Largest Indian bookstagram audience; non-fiction and self-help readers who buy heavily and accumulate shelves.</t>
  </si>
  <si>
    <t xml:space="preserve">Paid collab: 'what my shelf looks like after a year of swapping' reel + a promo code.</t>
  </si>
  <si>
    <t xml:space="preserve">Top-of-funnel reach play; expect a real rate card.</t>
  </si>
  <si>
    <t xml:space="preserve">CR02</t>
  </si>
  <si>
    <t xml:space="preserve">Nona Uppal</t>
  </si>
  <si>
    <t xml:space="preserve">@nonauppal</t>
  </si>
  <si>
    <t xml:space="preserve">https://www.instagram.com/nonauppal/</t>
  </si>
  <si>
    <t xml:space="preserve">~399k</t>
  </si>
  <si>
    <t xml:space="preserve">Author-creator with a young, female, fiction-reading audience - the exact SwapSutra core persona.</t>
  </si>
  <si>
    <t xml:space="preserve">Offer a SwapSutra reading circle hosted by her; she brings the audience, you host the space.</t>
  </si>
  <si>
    <t xml:space="preserve">Highest audience-fit of the large accounts.</t>
  </si>
  <si>
    <t xml:space="preserve">CR03</t>
  </si>
  <si>
    <t xml:space="preserve">Gaurika Gandhi</t>
  </si>
  <si>
    <t xml:space="preserve">@gaurikagandhi</t>
  </si>
  <si>
    <t xml:space="preserve">https://www.instagram.com/gaurikagandhi/</t>
  </si>
  <si>
    <t xml:space="preserve">~139k</t>
  </si>
  <si>
    <t xml:space="preserve">Mid-tier bookstagrammer with high comment engagement on recommendation posts.</t>
  </si>
  <si>
    <t xml:space="preserve">Barter: free lifetime membership + a featured shelf on SwapSutra in exchange for 2 posts.</t>
  </si>
  <si>
    <t xml:space="preserve">Barter-friendly tier - good ROI.</t>
  </si>
  <si>
    <t xml:space="preserve">CR04</t>
  </si>
  <si>
    <t xml:space="preserve">Avinash Priya - Avinash Shelf</t>
  </si>
  <si>
    <t xml:space="preserve">@avinashshelf</t>
  </si>
  <si>
    <t xml:space="preserve">https://www.instagram.com/avinashshelf/</t>
  </si>
  <si>
    <t xml:space="preserve">150k+</t>
  </si>
  <si>
    <t xml:space="preserve">Non-fiction/leadership audience; good for the 'buy less, borrow more' cost-saving message.</t>
  </si>
  <si>
    <t xml:space="preserve">Sponsored post framed on saving money on non-fiction you read once.</t>
  </si>
  <si>
    <t xml:space="preserve">CR05</t>
  </si>
  <si>
    <t xml:space="preserve">Vansh - Books with Vansh</t>
  </si>
  <si>
    <t xml:space="preserve">@bookswithvansh</t>
  </si>
  <si>
    <t xml:space="preserve">https://www.instagram.com/bookswithvansh/</t>
  </si>
  <si>
    <t xml:space="preserve">90k+</t>
  </si>
  <si>
    <t xml:space="preserve">Short summary format converts well to app installs; younger skewing audience.</t>
  </si>
  <si>
    <t xml:space="preserve">Reel series: 'I read 5 books this month and paid for none of them'.</t>
  </si>
  <si>
    <t xml:space="preserve">CR06</t>
  </si>
  <si>
    <t xml:space="preserve">Dr Ira Gupta - A Reader's Corner</t>
  </si>
  <si>
    <t xml:space="preserve">@a.readers.corner</t>
  </si>
  <si>
    <t xml:space="preserve">https://www.instagram.com/a.readers.corner/</t>
  </si>
  <si>
    <t xml:space="preserve">~40k</t>
  </si>
  <si>
    <t xml:space="preserve">Community-first micro-creator; the size where a genuine partnership beats a paid post.</t>
  </si>
  <si>
    <t xml:space="preserve">Invite as a founding SwapSutra reading circle host.</t>
  </si>
  <si>
    <t xml:space="preserve">Micro-tier: best conversion per rupee.</t>
  </si>
  <si>
    <t xml:space="preserve">CR07</t>
  </si>
  <si>
    <t xml:space="preserve">Asha Seth - Miss Book Thief</t>
  </si>
  <si>
    <t xml:space="preserve">Instagram + blog</t>
  </si>
  <si>
    <t xml:space="preserve">@missbookthief_</t>
  </si>
  <si>
    <t xml:space="preserve">https://missbookthief.com/</t>
  </si>
  <si>
    <t xml:space="preserve">~23k + blog</t>
  </si>
  <si>
    <t xml:space="preserve">Runs a book blog and author interviews - can give SwapSutra a long-form written feature, not just a story.</t>
  </si>
  <si>
    <t xml:space="preserve">Offer a founder interview / product review for the blog.</t>
  </si>
  <si>
    <t xml:space="preserve">SEO value from the blog backlink.</t>
  </si>
  <si>
    <t xml:space="preserve">CR08</t>
  </si>
  <si>
    <t xml:space="preserve">Resh Susan - The Book Satchel</t>
  </si>
  <si>
    <t xml:space="preserve">Blog + Instagram</t>
  </si>
  <si>
    <t xml:space="preserve">@thebooksatchel</t>
  </si>
  <si>
    <t xml:space="preserve">https://www.thebooksatchel.com/</t>
  </si>
  <si>
    <t xml:space="preserve">Niche literary</t>
  </si>
  <si>
    <t xml:space="preserve">Respected literary blogger; credibility with serious readers who care about translated and literary fiction.</t>
  </si>
  <si>
    <t xml:space="preserve">Pitch a guest essay on the economics of book ownership in India.</t>
  </si>
  <si>
    <t xml:space="preserve">CR09</t>
  </si>
  <si>
    <t xml:space="preserve">Sweta Samota</t>
  </si>
  <si>
    <t xml:space="preserve">@swetasamota</t>
  </si>
  <si>
    <t xml:space="preserve">https://www.instagram.com/swetasamota/</t>
  </si>
  <si>
    <t xml:space="preserve">100k+</t>
  </si>
  <si>
    <t xml:space="preserve">Audience of authors and aspiring authors - a supply-side channel (authors seeding their own books).</t>
  </si>
  <si>
    <t xml:space="preserve">Pitch SwapSutra as a discovery channel for indie authors' books.</t>
  </si>
  <si>
    <t xml:space="preserve">Supply-side, not demand-side.</t>
  </si>
  <si>
    <t xml:space="preserve">CR10</t>
  </si>
  <si>
    <t xml:space="preserve">Ankit Rastogi - Good Vibes with Ankit</t>
  </si>
  <si>
    <t xml:space="preserve">@goodvibeswithankit</t>
  </si>
  <si>
    <t xml:space="preserve">https://www.instagram.com/goodvibeswithankit/</t>
  </si>
  <si>
    <t xml:space="preserve">300k+</t>
  </si>
  <si>
    <t xml:space="preserve">Very large reach but self-help/productivity skew - broader than the core reader persona.</t>
  </si>
  <si>
    <t xml:space="preserve">Only if budget allows a reach campaign; otherwise deprioritise.</t>
  </si>
  <si>
    <t xml:space="preserve">Reach over fit.</t>
  </si>
  <si>
    <t xml:space="preserve">CR11</t>
  </si>
  <si>
    <t xml:space="preserve">Indian Booktuber (YouTube)</t>
  </si>
  <si>
    <t xml:space="preserve">YouTube</t>
  </si>
  <si>
    <t xml:space="preserve">youtube.com/c/indianbooktuber</t>
  </si>
  <si>
    <t xml:space="preserve">https://www.youtube.com/c/indianbooktuber</t>
  </si>
  <si>
    <t xml:space="preserve">BookTube</t>
  </si>
  <si>
    <t xml:space="preserve">Long-form video lets you actually demo the swap flow, which a static post cannot.</t>
  </si>
  <si>
    <t xml:space="preserve">Offer a sponsored walkthrough segment + affiliate code.</t>
  </si>
  <si>
    <t xml:space="preserve">CR12</t>
  </si>
  <si>
    <t xml:space="preserve">The Indian Book Club (Substack + community)</t>
  </si>
  <si>
    <t xml:space="preserve">Substack</t>
  </si>
  <si>
    <t xml:space="preserve">indianbookclub.substack.com</t>
  </si>
  <si>
    <t xml:space="preserve">https://indianbookclub.substack.com/</t>
  </si>
  <si>
    <t xml:space="preserve">Newsletter</t>
  </si>
  <si>
    <t xml:space="preserve">Paid newsletter audience already pays for reading community - proven willingness to pay ~Rs 99/month.</t>
  </si>
  <si>
    <t xml:space="preserve">Cross-promo: their subscribers get 2 months of SwapSutra free.</t>
  </si>
  <si>
    <t xml:space="preserve">Closest existing paid-community precedent to your Rs 49/month model.</t>
  </si>
  <si>
    <t xml:space="preserve">Reader community leads</t>
  </si>
  <si>
    <t xml:space="preserve">Reading communities, silent reading circles, book clubs and meetup groups.</t>
  </si>
  <si>
    <t xml:space="preserve">CM01</t>
  </si>
  <si>
    <t xml:space="preserve">Community</t>
  </si>
  <si>
    <t xml:space="preserve">@cubbonreads</t>
  </si>
  <si>
    <t xml:space="preserve">https://www.instagram.com/cubbonreads/</t>
  </si>
  <si>
    <t xml:space="preserve">Very large, weekly</t>
  </si>
  <si>
    <t xml:space="preserve">India's flagship silent reading community - hundreds gather every Saturday at Cubbon Park. Physical density is exactly what a swap network needs to bootstrap.</t>
  </si>
  <si>
    <t xml:space="preserve">Offer to run a free book-swap corner at a Saturday session; no branding push, just utility.</t>
  </si>
  <si>
    <t xml:space="preserve">Founders also built a readers' dating app - open to reader products.</t>
  </si>
  <si>
    <t xml:space="preserve">CM02</t>
  </si>
  <si>
    <t xml:space="preserve">Cubbon Book Club</t>
  </si>
  <si>
    <t xml:space="preserve">Instagram / X</t>
  </si>
  <si>
    <t xml:space="preserve">@cubbonbookclub</t>
  </si>
  <si>
    <t xml:space="preserve">https://www.instagram.com/cubbonbookclub/</t>
  </si>
  <si>
    <t xml:space="preserve">Monthly, large</t>
  </si>
  <si>
    <t xml:space="preserve">Structured monthly discussion groups - maps one-to-one onto SwapSutra reading circles.</t>
  </si>
  <si>
    <t xml:space="preserve">Offer SwapSutra as the free RSVP + reading-circle tool for their meetups.</t>
  </si>
  <si>
    <t xml:space="preserve">Tooling angle, not an ad angle.</t>
  </si>
  <si>
    <t xml:space="preserve">CM03</t>
  </si>
  <si>
    <t xml:space="preserve">@pune.reads</t>
  </si>
  <si>
    <t xml:space="preserve">Weekly, large</t>
  </si>
  <si>
    <t xml:space="preserve">Pune's park reading movement with national press coverage; young, student-heavy, high swap intent.</t>
  </si>
  <si>
    <t xml:space="preserve">Joint 'bring a book, leave a book' edition; SwapSutra handles the listing and matching.</t>
  </si>
  <si>
    <t xml:space="preserve">Pairs directly with the Pune campus leads.</t>
  </si>
  <si>
    <t xml:space="preserve">CM04</t>
  </si>
  <si>
    <t xml:space="preserve">@hyderabadreads</t>
  </si>
  <si>
    <t xml:space="preserve">Weekly</t>
  </si>
  <si>
    <t xml:space="preserve">Established silent reading community and the natural beachhead for the Hyderabad market.</t>
  </si>
  <si>
    <t xml:space="preserve">Same swap-corner offer as Cubbon Reads; ask for an intro to campus organisers.</t>
  </si>
  <si>
    <t xml:space="preserve">CM05</t>
  </si>
  <si>
    <t xml:space="preserve">@bandrareads</t>
  </si>
  <si>
    <t xml:space="preserve">Weekly, Joggers Park</t>
  </si>
  <si>
    <t xml:space="preserve">Mumbai's most consistent public reading gathering; affluent, high-intent readers.</t>
  </si>
  <si>
    <t xml:space="preserve">Sponsor tea for a Sunday session in exchange for a swap table.</t>
  </si>
  <si>
    <t xml:space="preserve">CM06</t>
  </si>
  <si>
    <t xml:space="preserve">North Mumbai counterpart to Bandra Reads; IIT Bombay is adjacent, so campus + community overlap.</t>
  </si>
  <si>
    <t xml:space="preserve">Approach jointly with the IIT Bombay lit club pitch.</t>
  </si>
  <si>
    <t xml:space="preserve">Founder: Ananya Bhardwaj.</t>
  </si>
  <si>
    <t xml:space="preserve">CM07</t>
  </si>
  <si>
    <t xml:space="preserve">Instagram / Goodreads</t>
  </si>
  <si>
    <t xml:space="preserve">@brokebombay</t>
  </si>
  <si>
    <t xml:space="preserve">Established community</t>
  </si>
  <si>
    <t xml:space="preserve">The name says it: a community built around reading affordably. Swapping and lending is their whole premise.</t>
  </si>
  <si>
    <t xml:space="preserve">Lead with cost-per-book savings; offer the chapter free memberships for organisers.</t>
  </si>
  <si>
    <t xml:space="preserve">Highest message-market fit of any community lead.</t>
  </si>
  <si>
    <t xml:space="preserve">CM08</t>
  </si>
  <si>
    <t xml:space="preserve">X / Instagram</t>
  </si>
  <si>
    <t xml:space="preserve">@BibliophilesBlr</t>
  </si>
  <si>
    <t xml:space="preserve">Monthly at Bookworm</t>
  </si>
  <si>
    <t xml:space="preserve">Same affordability premise; already meets at a second-hand bookstore (Bookworm).</t>
  </si>
  <si>
    <t xml:space="preserve">Three-way partnership: SwapSutra + BBB + Bookworm as a physical swap point.</t>
  </si>
  <si>
    <t xml:space="preserve">Bundles a community and a B2B lead.</t>
  </si>
  <si>
    <t xml:space="preserve">CM09</t>
  </si>
  <si>
    <t xml:space="preserve">Instagram / NGO</t>
  </si>
  <si>
    <t xml:space="preserve">Since 2013</t>
  </si>
  <si>
    <t xml:space="preserve">Long-running Delhi reading initiative with an NGO arm - a credibility and CSR partnership, not just reach.</t>
  </si>
  <si>
    <t xml:space="preserve">Propose a book-donation drive routed through SwapSutra listings.</t>
  </si>
  <si>
    <t xml:space="preserve">Founders: Sneha and Navya Misran.</t>
  </si>
  <si>
    <t xml:space="preserve">CM10</t>
  </si>
  <si>
    <t xml:space="preserve">Babelfish Book Club</t>
  </si>
  <si>
    <t xml:space="preserve">X / Twitter</t>
  </si>
  <si>
    <t xml:space="preserve">@Babelfish_reads</t>
  </si>
  <si>
    <t xml:space="preserve">https://x.com/Babelfish_reads</t>
  </si>
  <si>
    <t xml:space="preserve">Niche, translated fiction</t>
  </si>
  <si>
    <t xml:space="preserve">Translated-fiction niche; already partners with a bookstore for member discounts, so partnership-friendly.</t>
  </si>
  <si>
    <t xml:space="preserve">Offer a SwapSutra members' discount tie-in mirroring their existing bookstore deal.</t>
  </si>
  <si>
    <t xml:space="preserve">CM11</t>
  </si>
  <si>
    <t xml:space="preserve">Delhi Book Lovers (Meetup)</t>
  </si>
  <si>
    <t xml:space="preserve">Meetup</t>
  </si>
  <si>
    <t xml:space="preserve">meetup.com/dbl-join</t>
  </si>
  <si>
    <t xml:space="preserve">https://www.meetup.com/dbl-join/</t>
  </si>
  <si>
    <t xml:space="preserve">Meetup group</t>
  </si>
  <si>
    <t xml:space="preserve">Meetup groups have opt-in email lists and event RSVPs - easy, permissioned distribution.</t>
  </si>
  <si>
    <t xml:space="preserve">Post a free SwapSutra swap meetup on their calendar.</t>
  </si>
  <si>
    <t xml:space="preserve">CM12</t>
  </si>
  <si>
    <t xml:space="preserve">Mumbai Book Club (Meetup)</t>
  </si>
  <si>
    <t xml:space="preserve">meetup.com/book-reading-club</t>
  </si>
  <si>
    <t xml:space="preserve">https://www.meetup.com/book-reading-club/</t>
  </si>
  <si>
    <t xml:space="preserve">Same permissioned-distribution logic in Mumbai.</t>
  </si>
  <si>
    <t xml:space="preserve">Host a SwapSutra-sponsored session.</t>
  </si>
  <si>
    <t xml:space="preserve">CM13</t>
  </si>
  <si>
    <t xml:space="preserve">Bangalore Book Reading &amp; Tea Club (Meetup)</t>
  </si>
  <si>
    <t xml:space="preserve">meetup.com/bangalore-book-reading-tea-club</t>
  </si>
  <si>
    <t xml:space="preserve">https://www.meetup.com/bangalore-book-reading-tea-club/</t>
  </si>
  <si>
    <t xml:space="preserve">Recurring, tea-and-books format that maps neatly to SwapSutra meetups.</t>
  </si>
  <si>
    <t xml:space="preserve">Offer to co-host and cover the venue.</t>
  </si>
  <si>
    <t xml:space="preserve">CM14</t>
  </si>
  <si>
    <t xml:space="preserve">Karuna's Kitaab Club</t>
  </si>
  <si>
    <t xml:space="preserve">@karunaskitaabclub</t>
  </si>
  <si>
    <t xml:space="preserve">https://www.instagram.com/karunaskitaabclub/</t>
  </si>
  <si>
    <t xml:space="preserve">Virtual club</t>
  </si>
  <si>
    <t xml:space="preserve">Runs monthly picks and author conversations online - a direct fit for SwapSutra online meetups.</t>
  </si>
  <si>
    <t xml:space="preserve">Offer SwapSutra as the hosting platform for their author sessions.</t>
  </si>
  <si>
    <t xml:space="preserve">CM15</t>
  </si>
  <si>
    <t xml:space="preserve">The Indian Book Club (@indiareadwithus)</t>
  </si>
  <si>
    <t xml:space="preserve">@indiareadwithus</t>
  </si>
  <si>
    <t xml:space="preserve">Paid, Rs 99/mo</t>
  </si>
  <si>
    <t xml:space="preserve">Already charges Rs 99/month for a reading community - proves your Rs 49/month membership is priced to convert.</t>
  </si>
  <si>
    <t xml:space="preserve">Partnership or, at minimum, pricing research. Offer a bundled cross-membership.</t>
  </si>
  <si>
    <t xml:space="preserve">Also a competitor - read their positioning before pitching.</t>
  </si>
  <si>
    <t xml:space="preserve">CM16</t>
  </si>
  <si>
    <t xml:space="preserve">PaperBackTalks</t>
  </si>
  <si>
    <t xml:space="preserve">Multi-city</t>
  </si>
  <si>
    <t xml:space="preserve">Search: PaperBackTalks</t>
  </si>
  <si>
    <t xml:space="preserve">Multi-city chapters</t>
  </si>
  <si>
    <t xml:space="preserve">Runs open mics and author interactions across several cities - one relationship, many cities.</t>
  </si>
  <si>
    <t xml:space="preserve">Propose SwapSutra as event partner across all chapters.</t>
  </si>
  <si>
    <t xml:space="preserve">Founder: Rahul Saini.</t>
  </si>
  <si>
    <t xml:space="preserve">CM17</t>
  </si>
  <si>
    <t xml:space="preserve">Bring Your Own Book (BYOB)</t>
  </si>
  <si>
    <t xml:space="preserve">Search: BYOB book club India</t>
  </si>
  <si>
    <t xml:space="preserve">Delhi, Mumbai, Bengaluru</t>
  </si>
  <si>
    <t xml:space="preserve">The 'bring your own book' format is one step away from 'swap your own book'.</t>
  </si>
  <si>
    <t xml:space="preserve">Pitch a swap add-on to their existing format.</t>
  </si>
  <si>
    <t xml:space="preserve">CM18</t>
  </si>
  <si>
    <t xml:space="preserve">Silent Book Club - India chapters</t>
  </si>
  <si>
    <t xml:space="preserve">Website</t>
  </si>
  <si>
    <t xml:space="preserve">silentbook.club</t>
  </si>
  <si>
    <t xml:space="preserve">https://silentbook.club/</t>
  </si>
  <si>
    <t xml:space="preserve">Global network, Indian chapters</t>
  </si>
  <si>
    <t xml:space="preserve">Chapter directory gives you a ready-made list of local organisers in multiple Indian cities.</t>
  </si>
  <si>
    <t xml:space="preserve">Work the chapter directory city by city; offer each organiser a free swap corner kit.</t>
  </si>
  <si>
    <t xml:space="preserve">Use as a lead source, not a single lead.</t>
  </si>
  <si>
    <t xml:space="preserve">CM19</t>
  </si>
  <si>
    <t xml:space="preserve">Goodreads India / Delhi / book-exchange groups</t>
  </si>
  <si>
    <t xml:space="preserve">Goodreads</t>
  </si>
  <si>
    <t xml:space="preserve">goodreads.com/group/show_tag/book-exchange</t>
  </si>
  <si>
    <t xml:space="preserve">https://www.goodreads.com/group/show_tag/book-exchange</t>
  </si>
  <si>
    <t xml:space="preserve">Multiple groups</t>
  </si>
  <si>
    <t xml:space="preserve">Explicit book-exchange intent, though Goodreads groups are lower-activity than Instagram now.</t>
  </si>
  <si>
    <t xml:space="preserve">Join, contribute genuinely, then mention SwapSutra where relevant. No cold spam.</t>
  </si>
  <si>
    <t xml:space="preserve">Low effort, low-moderate yield.</t>
  </si>
  <si>
    <t xml:space="preserve">Partner organisation leads (B2B)</t>
  </si>
  <si>
    <t xml:space="preserve">Bookstores, book cafes, co-working spaces, publishers and festivals.</t>
  </si>
  <si>
    <t xml:space="preserve">PT01</t>
  </si>
  <si>
    <t xml:space="preserve">Partner</t>
  </si>
  <si>
    <t xml:space="preserve">Kitab Khana / Kitab Klub</t>
  </si>
  <si>
    <t xml:space="preserve">Instagram / in-store</t>
  </si>
  <si>
    <t xml:space="preserve">@kitabkhana</t>
  </si>
  <si>
    <t xml:space="preserve">https://www.instagram.com/kitabkhana/</t>
  </si>
  <si>
    <t xml:space="preserve">Fort, Mumbai</t>
  </si>
  <si>
    <t xml:space="preserve">Landmark Mumbai bookstore already running a paid monthly book club - infrastructure and audience in one.</t>
  </si>
  <si>
    <t xml:space="preserve">Propose a SwapSutra swap shelf in-store; they get footfall, you get a verified handover point.</t>
  </si>
  <si>
    <t xml:space="preserve">Physical handover points are the single biggest trust unlock.</t>
  </si>
  <si>
    <t xml:space="preserve">PT02</t>
  </si>
  <si>
    <t xml:space="preserve">White Crow Books &amp; Coffee (TWC Book Club)</t>
  </si>
  <si>
    <t xml:space="preserve">@thewhitecrowbooksandcoffee</t>
  </si>
  <si>
    <t xml:space="preserve">Cafe + club</t>
  </si>
  <si>
    <t xml:space="preserve">Bookstore-cafe that already hosts a monthly club - venue, audience and reason-to-visit all present.</t>
  </si>
  <si>
    <t xml:space="preserve">Co-host a SwapSutra meetup; offer members a discount at the cafe.</t>
  </si>
  <si>
    <t xml:space="preserve">PT03</t>
  </si>
  <si>
    <t xml:space="preserve">Website / Instagram</t>
  </si>
  <si>
    <t xml:space="preserve">champaca.in</t>
  </si>
  <si>
    <t xml:space="preserve">https://champaca.in/</t>
  </si>
  <si>
    <t xml:space="preserve">Vasanth Nagar</t>
  </si>
  <si>
    <t xml:space="preserve">Runs a paid lending library already - they understand and have validated the borrow-not-buy model.</t>
  </si>
  <si>
    <t xml:space="preserve">Pitch a partnership rather than a promo: SwapSutra as the digital layer over their lending members.</t>
  </si>
  <si>
    <t xml:space="preserve">Closest philosophical fit of any partner.</t>
  </si>
  <si>
    <t xml:space="preserve">PT04</t>
  </si>
  <si>
    <t xml:space="preserve">Bookworm Bangalore</t>
  </si>
  <si>
    <t xml:space="preserve">In-store</t>
  </si>
  <si>
    <t xml:space="preserve">Search: Bookworm Church Street</t>
  </si>
  <si>
    <t xml:space="preserve">Church Street</t>
  </si>
  <si>
    <t xml:space="preserve">Bengaluru's best-known second-hand bookstore and the meeting venue for Broke Bibliophiles Bangalore.</t>
  </si>
  <si>
    <t xml:space="preserve">Warm intro via Broke Bibliophiles; propose a swap point and a listings tie-in.</t>
  </si>
  <si>
    <t xml:space="preserve">Verify contact</t>
  </si>
  <si>
    <t xml:space="preserve">Second-hand stores are natural allies, not competitors.</t>
  </si>
  <si>
    <t xml:space="preserve">PT05</t>
  </si>
  <si>
    <t xml:space="preserve">Select Bookshop</t>
  </si>
  <si>
    <t xml:space="preserve">Brigade Road</t>
  </si>
  <si>
    <t xml:space="preserve">80-year institution</t>
  </si>
  <si>
    <t xml:space="preserve">Sources pre-loved and vintage titles - shared 'books should circulate' philosophy.</t>
  </si>
  <si>
    <t xml:space="preserve">In-person visit; propose a curated pre-loved listing feed on SwapSutra.</t>
  </si>
  <si>
    <t xml:space="preserve">PT06</t>
  </si>
  <si>
    <t xml:space="preserve">Bahrisons Booksellers</t>
  </si>
  <si>
    <t xml:space="preserve">Website / stores</t>
  </si>
  <si>
    <t xml:space="preserve">booksatbahri.com</t>
  </si>
  <si>
    <t xml:space="preserve">https://en.wikipedia.org/wiki/Bahrisons_Booksellers</t>
  </si>
  <si>
    <t xml:space="preserve">Multiple NCR stores</t>
  </si>
  <si>
    <t xml:space="preserve">Delhi's best-known chain with several NCR outlets - one deal gives you handover points across the city.</t>
  </si>
  <si>
    <t xml:space="preserve">Formal partnership proposal to head office, framed around footfall from SwapSutra users.</t>
  </si>
  <si>
    <t xml:space="preserve">Slower to close; start early.</t>
  </si>
  <si>
    <t xml:space="preserve">PT07</t>
  </si>
  <si>
    <t xml:space="preserve">Faqir Chand Bookstore, Khan Market</t>
  </si>
  <si>
    <t xml:space="preserve">Khan Market</t>
  </si>
  <si>
    <t xml:space="preserve">Heritage, since 1948</t>
  </si>
  <si>
    <t xml:space="preserve">Heritage credibility in a high-footfall market; fourth-generation owners with deep reader relationships.</t>
  </si>
  <si>
    <t xml:space="preserve">In-person visit with a printed one-pager - this is not an Instagram-DM audience.</t>
  </si>
  <si>
    <t xml:space="preserve">PT08</t>
  </si>
  <si>
    <t xml:space="preserve">Kunzum Travel Cafe (multiple NCR outlets)</t>
  </si>
  <si>
    <t xml:space="preserve">Cafe + bookstore</t>
  </si>
  <si>
    <t xml:space="preserve">Search: Kunzum</t>
  </si>
  <si>
    <t xml:space="preserve">Several NCR locations</t>
  </si>
  <si>
    <t xml:space="preserve">Book-cafe chain with a browse-and-linger model and multiple locations - ideal distributed swap points.</t>
  </si>
  <si>
    <t xml:space="preserve">Pitch all outlets at once as SwapSutra 'swap stations'.</t>
  </si>
  <si>
    <t xml:space="preserve">Multi-location = high leverage.</t>
  </si>
  <si>
    <t xml:space="preserve">PT09</t>
  </si>
  <si>
    <t xml:space="preserve">Cafe Turtle / Full Circle Bookstore</t>
  </si>
  <si>
    <t xml:space="preserve">Khan Market &amp; other outlets</t>
  </si>
  <si>
    <t xml:space="preserve">Established</t>
  </si>
  <si>
    <t xml:space="preserve">Bookstore-cafe pairing with an existing literary events calendar.</t>
  </si>
  <si>
    <t xml:space="preserve">Offer to fill a slow weekday evening slot with a SwapSutra reading circle.</t>
  </si>
  <si>
    <t xml:space="preserve">PT10</t>
  </si>
  <si>
    <t xml:space="preserve">Jugmug Thela, Saidulajab</t>
  </si>
  <si>
    <t xml:space="preserve">Cafe</t>
  </si>
  <si>
    <t xml:space="preserve">Search: Jugmug Thela</t>
  </si>
  <si>
    <t xml:space="preserve">Reading room</t>
  </si>
  <si>
    <t xml:space="preserve">Already sells pre-loved books at a discount from a dedicated reading room - a swap shelf is a small ask.</t>
  </si>
  <si>
    <t xml:space="preserve">Small, concrete ask: one shelf, SwapSutra-branded, listings synced.</t>
  </si>
  <si>
    <t xml:space="preserve">Easy first yes.</t>
  </si>
  <si>
    <t xml:space="preserve">PT11</t>
  </si>
  <si>
    <t xml:space="preserve">Book Talk, Dwarka</t>
  </si>
  <si>
    <t xml:space="preserve">Library cafe</t>
  </si>
  <si>
    <t xml:space="preserve">Search: Book Talk Dwarka</t>
  </si>
  <si>
    <t xml:space="preserve">Library-meets-cafe</t>
  </si>
  <si>
    <t xml:space="preserve">Already runs borrowing plus events - operationally closest to what SwapSutra does offline.</t>
  </si>
  <si>
    <t xml:space="preserve">Offer SwapSutra as their free borrowing-management tool.</t>
  </si>
  <si>
    <t xml:space="preserve">Product-led partnership.</t>
  </si>
  <si>
    <t xml:space="preserve">PT12</t>
  </si>
  <si>
    <t xml:space="preserve">The Nerdy Indian, Sainik Farms</t>
  </si>
  <si>
    <t xml:space="preserve">Search: The Nerdy Indian</t>
  </si>
  <si>
    <t xml:space="preserve">~1000 book library</t>
  </si>
  <si>
    <t xml:space="preserve">Large in-house library and an audience that already borrows on site.</t>
  </si>
  <si>
    <t xml:space="preserve">Swap shelf + cross-promo vouchers.</t>
  </si>
  <si>
    <t xml:space="preserve">PT13</t>
  </si>
  <si>
    <t xml:space="preserve">Bookstore</t>
  </si>
  <si>
    <t xml:space="preserve">Search: Luna Books Hyderabad</t>
  </si>
  <si>
    <t xml:space="preserve">Two-storey, curated</t>
  </si>
  <si>
    <t xml:space="preserve">Hyderabad's most-recommended indie store; curation-led, so their endorsement carries weight locally.</t>
  </si>
  <si>
    <t xml:space="preserve">Approach alongside Hyderabad Reads for a joint city launch.</t>
  </si>
  <si>
    <t xml:space="preserve">PT14</t>
  </si>
  <si>
    <t xml:space="preserve">Akshara Books, Jubilee Hills</t>
  </si>
  <si>
    <t xml:space="preserve">Search: Akshara Books</t>
  </si>
  <si>
    <t xml:space="preserve">Hosts literary events</t>
  </si>
  <si>
    <t xml:space="preserve">Already hosts literary and artistic events - a venue partner for SwapSutra meetups.</t>
  </si>
  <si>
    <t xml:space="preserve">Offer to programme one event a month.</t>
  </si>
  <si>
    <t xml:space="preserve">PT15</t>
  </si>
  <si>
    <t xml:space="preserve">Pagdandi Books Chai Cafe</t>
  </si>
  <si>
    <t xml:space="preserve">Bookstore cafe</t>
  </si>
  <si>
    <t xml:space="preserve">Search: Pagdandi Pune</t>
  </si>
  <si>
    <t xml:space="preserve">Pune's landmark book-cafe with a strong community programme; pairs with Pune Reads and the campus cluster.</t>
  </si>
  <si>
    <t xml:space="preserve">Anchor partner for a Pune city launch.</t>
  </si>
  <si>
    <t xml:space="preserve">Make Pune the first full city pilot.</t>
  </si>
  <si>
    <t xml:space="preserve">PT16</t>
  </si>
  <si>
    <t xml:space="preserve">Bookstore + events</t>
  </si>
  <si>
    <t xml:space="preserve">attagalatta.com</t>
  </si>
  <si>
    <t xml:space="preserve">Koramangala</t>
  </si>
  <si>
    <t xml:space="preserve">Runs one of India's busiest independent literary event calendars - immediate access to organised readers.</t>
  </si>
  <si>
    <t xml:space="preserve">Propose a recurring monthly SwapSutra swap-and-read evening.</t>
  </si>
  <si>
    <t xml:space="preserve">High-volume events venue.</t>
  </si>
  <si>
    <t xml:space="preserve">PT17</t>
  </si>
  <si>
    <t xml:space="preserve">Very high footfall, used books</t>
  </si>
  <si>
    <t xml:space="preserve">India's most famous used-bookstore; enormous footfall of exactly the price-sensitive reader you want.</t>
  </si>
  <si>
    <t xml:space="preserve">Flyer/QR partnership at the counter plus a swap point upstairs.</t>
  </si>
  <si>
    <t xml:space="preserve">Highest raw footfall on this list.</t>
  </si>
  <si>
    <t xml:space="preserve">PT18</t>
  </si>
  <si>
    <t xml:space="preserve">Co-working spaces with libraries (WeWork, 91springboard, Bhive)</t>
  </si>
  <si>
    <t xml:space="preserve">B2B partnerships</t>
  </si>
  <si>
    <t xml:space="preserve">Community managers</t>
  </si>
  <si>
    <t xml:space="preserve">Corporate readers</t>
  </si>
  <si>
    <t xml:space="preserve">Community managers need free programming; a SwapSutra book shelf and monthly circle is easy for them to say yes to.</t>
  </si>
  <si>
    <t xml:space="preserve">Email community managers offering ready-made programming at no cost.</t>
  </si>
  <si>
    <t xml:space="preserve">Scales fast once one location says yes.</t>
  </si>
  <si>
    <t xml:space="preserve">PT19</t>
  </si>
  <si>
    <t xml:space="preserve">Publishers - HarperCollins India, Penguin RH India, Juggernaut</t>
  </si>
  <si>
    <t xml:space="preserve">Marketing teams</t>
  </si>
  <si>
    <t xml:space="preserve">Marketing / community leads</t>
  </si>
  <si>
    <t xml:space="preserve">National</t>
  </si>
  <si>
    <t xml:space="preserve">Publishers want reader data and launch reach; SwapSutra reading circles are a distribution channel for new titles.</t>
  </si>
  <si>
    <t xml:space="preserve">Pitch reading-circle placements for new releases; ask for review copies as circle giveaways.</t>
  </si>
  <si>
    <t xml:space="preserve">Long sales cycle - start conversations now, expect results in 6+ months.</t>
  </si>
  <si>
    <t xml:space="preserve">PT20</t>
  </si>
  <si>
    <t xml:space="preserve">Jaipur Literature Festival &amp; city lit fests</t>
  </si>
  <si>
    <t xml:space="preserve">Events</t>
  </si>
  <si>
    <t xml:space="preserve">Festival partnerships teams</t>
  </si>
  <si>
    <t xml:space="preserve">Tens of thousands</t>
  </si>
  <si>
    <t xml:space="preserve">Single highest concentration of Indian readers in one place; a swap booth is a natural fit.</t>
  </si>
  <si>
    <t xml:space="preserve">Apply for a community/startup partner slot well before the season.</t>
  </si>
  <si>
    <t xml:space="preserve">Plan 4-6 months ahead of the festival calendar.</t>
  </si>
  <si>
    <t xml:space="preserve">Pipeline dashboard</t>
  </si>
  <si>
    <t xml:space="preserve">Updates automatically as you fill in the Status column on each tab.</t>
  </si>
  <si>
    <t xml:space="preserve">Leads</t>
  </si>
  <si>
    <t xml:space="preserve">P1</t>
  </si>
  <si>
    <t xml:space="preserve">P2</t>
  </si>
  <si>
    <t xml:space="preserve">P3</t>
  </si>
  <si>
    <t xml:space="preserve">Researching</t>
  </si>
  <si>
    <t xml:space="preserve">Contacted</t>
  </si>
  <si>
    <t xml:space="preserve">In conversation</t>
  </si>
  <si>
    <t xml:space="preserve">Won</t>
  </si>
  <si>
    <t xml:space="preserve">Passed</t>
  </si>
  <si>
    <t xml:space="preserve">Creators</t>
  </si>
  <si>
    <t xml:space="preserve">Communities</t>
  </si>
  <si>
    <t xml:space="preserve">Partners</t>
  </si>
  <si>
    <t xml:space="preserve">Total</t>
  </si>
  <si>
    <t xml:space="preserve">P1/P2/P3 are driven by the Fit score on each tab. Contacted-onwards counts come from the Status dropdowns.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</si>
</sst>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B2F2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3B2F2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3B2F2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6"/>
      <color rgb="FF3B2F2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B2F2F"/>
        <bgColor rgb="FF333300"/>
      </patternFill>
    </fill>
    <fill>
      <patternFill patternType="solid">
        <fgColor rgb="FFE2EFDA"/>
        <bgColor rgb="FFEFE7DA"/>
      </patternFill>
    </fill>
    <fill>
      <patternFill patternType="solid">
        <fgColor rgb="FFFFFF00"/>
        <bgColor rgb="FFFFFF00"/>
      </patternFill>
    </fill>
    <fill>
      <patternFill patternType="solid">
        <fgColor rgb="FFFAF6F0"/>
        <bgColor rgb="FFFFFFFF"/>
      </patternFill>
    </fill>
    <fill>
      <patternFill patternType="solid">
        <fgColor rgb="FFFFF2CC"/>
        <bgColor rgb="FFFAF6F0"/>
      </patternFill>
    </fill>
    <fill>
      <patternFill patternType="solid">
        <fgColor rgb="FFEFE7DA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7"/>
      </left>
      <right style="thin">
        <color rgb="FFD9D2C7"/>
      </right>
      <top style="thin">
        <color rgb="FFD9D2C7"/>
      </top>
      <bottom style="thin">
        <color rgb="FFD9D2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3B2F2F"/>
          <bgColor rgb="FF000000"/>
        </patternFill>
      </fill>
    </dxf>
    <dxf>
      <fill>
        <patternFill patternType="solid">
          <fgColor rgb="FFFAF6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7"/>
      <rgbColor rgb="FF808080"/>
      <rgbColor rgb="FF9999FF"/>
      <rgbColor rgb="FF993366"/>
      <rgbColor rgb="FFFFF2CC"/>
      <rgbColor rgb="FFFAF6F0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7DA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champaca.in/pages/contact-us" TargetMode="External"/><Relationship Id="rId2" Type="http://schemas.openxmlformats.org/officeDocument/2006/relationships/hyperlink" Target="https://kunzum.shop/pages/contact" TargetMode="External"/><Relationship Id="rId3" Type="http://schemas.openxmlformats.org/officeDocument/2006/relationships/hyperlink" Target="https://www.kitabkhana.in/en/contact-us" TargetMode="External"/><Relationship Id="rId4" Type="http://schemas.openxmlformats.org/officeDocument/2006/relationships/hyperlink" Target="https://www.attagalatta.com/" TargetMode="External"/><Relationship Id="rId5" Type="http://schemas.openxmlformats.org/officeDocument/2006/relationships/hyperlink" Target="https://pagdandi.org/aboutus/" TargetMode="External"/><Relationship Id="rId6" Type="http://schemas.openxmlformats.org/officeDocument/2006/relationships/hyperlink" Target="https://blossombookhouse.in/pages/about-us" TargetMode="External"/><Relationship Id="rId7" Type="http://schemas.openxmlformats.org/officeDocument/2006/relationships/hyperlink" Target="https://www.booksatbahri.com/content/contactus/" TargetMode="External"/><Relationship Id="rId8" Type="http://schemas.openxmlformats.org/officeDocument/2006/relationships/hyperlink" Target="https://scroll.in/article/1037700/we-want-to-help-people-to-discover-new-books-hyderabad-gets-a-new-independent-bookshop" TargetMode="External"/><Relationship Id="rId9" Type="http://schemas.openxmlformats.org/officeDocument/2006/relationships/hyperlink" Target="https://www.instagram.com/aksharabookstore/" TargetMode="External"/><Relationship Id="rId10" Type="http://schemas.openxmlformats.org/officeDocument/2006/relationships/hyperlink" Target="https://www.instagram.com/thewhitecrowbooksandcoffee/" TargetMode="External"/><Relationship Id="rId11" Type="http://schemas.openxmlformats.org/officeDocument/2006/relationships/hyperlink" Target="https://openthemagazine.com/books/book-clubs-literary-company" TargetMode="External"/><Relationship Id="rId12" Type="http://schemas.openxmlformats.org/officeDocument/2006/relationships/hyperlink" Target="https://x.com/BibliophilesBlr" TargetMode="External"/><Relationship Id="rId13" Type="http://schemas.openxmlformats.org/officeDocument/2006/relationships/hyperlink" Target="https://www.instagram.com/brokebombay/" TargetMode="External"/><Relationship Id="rId14" Type="http://schemas.openxmlformats.org/officeDocument/2006/relationships/hyperlink" Target="https://openthemagazine.com/books/book-clubs-literary-company" TargetMode="External"/><Relationship Id="rId15" Type="http://schemas.openxmlformats.org/officeDocument/2006/relationships/hyperlink" Target="https://www.instagram.com/pune.reads/" TargetMode="External"/><Relationship Id="rId16" Type="http://schemas.openxmlformats.org/officeDocument/2006/relationships/hyperlink" Target="https://www.instagram.com/hyderabadreads/" TargetMode="External"/><Relationship Id="rId17" Type="http://schemas.openxmlformats.org/officeDocument/2006/relationships/hyperlink" Target="https://www.instagram.com/bandrareads/" TargetMode="External"/><Relationship Id="rId18" Type="http://schemas.openxmlformats.org/officeDocument/2006/relationships/hyperlink" Target="https://openthemagazine.com/books/book-clubs-literary-company" TargetMode="External"/><Relationship Id="rId19" Type="http://schemas.openxmlformats.org/officeDocument/2006/relationships/hyperlink" Target="https://www.mirandahouse.ac.in/administration/administration.php" TargetMode="External"/><Relationship Id="rId20" Type="http://schemas.openxmlformats.org/officeDocument/2006/relationships/hyperlink" Target="https://www.ststephens.edu/english-lit-soc/" TargetMode="External"/><Relationship Id="rId21" Type="http://schemas.openxmlformats.org/officeDocument/2006/relationships/hyperlink" Target="https://www.instagram.com/litclub.iitd/" TargetMode="External"/><Relationship Id="rId22" Type="http://schemas.openxmlformats.org/officeDocument/2006/relationships/hyperlink" Target="https://christuniversity.in/departments/main%20campus/school%20of%20arts%20and%20humanities/english%20and%20cultural%20studies" TargetMode="External"/><Relationship Id="rId23" Type="http://schemas.openxmlformats.org/officeDocument/2006/relationships/hyperlink" Target="https://www.instagram.com/indiareadwithus/" TargetMode="External"/><Relationship Id="rId24" Type="http://schemas.openxmlformats.org/officeDocument/2006/relationships/hyperlink" Target="https://www.jaipurliteraturefestival.org/friend-of-the-festival" TargetMode="External"/><Relationship Id="rId25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instagram.com/literarysocietymh/" TargetMode="External"/><Relationship Id="rId2" Type="http://schemas.openxmlformats.org/officeDocument/2006/relationships/hyperlink" Target="https://www.ststephens.edu/english-lit-soc/" TargetMode="External"/><Relationship Id="rId3" Type="http://schemas.openxmlformats.org/officeDocument/2006/relationships/hyperlink" Target="https://www.instagram.com/litclub.iitd/" TargetMode="External"/><Relationship Id="rId4" Type="http://schemas.openxmlformats.org/officeDocument/2006/relationships/hyperlink" Target="https://lsr.edu.in/" TargetMode="External"/><Relationship Id="rId5" Type="http://schemas.openxmlformats.org/officeDocument/2006/relationships/hyperlink" Target="https://www.du.ac.in/" TargetMode="External"/><Relationship Id="rId6" Type="http://schemas.openxmlformats.org/officeDocument/2006/relationships/hyperlink" Target="https://xaviers.edu.in/" TargetMode="External"/><Relationship Id="rId7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instagram.com/booklyreads/" TargetMode="External"/><Relationship Id="rId2" Type="http://schemas.openxmlformats.org/officeDocument/2006/relationships/hyperlink" Target="https://www.instagram.com/nonauppal/" TargetMode="External"/><Relationship Id="rId3" Type="http://schemas.openxmlformats.org/officeDocument/2006/relationships/hyperlink" Target="https://www.instagram.com/gaurikagandhi/" TargetMode="External"/><Relationship Id="rId4" Type="http://schemas.openxmlformats.org/officeDocument/2006/relationships/hyperlink" Target="https://www.instagram.com/avinashshelf/" TargetMode="External"/><Relationship Id="rId5" Type="http://schemas.openxmlformats.org/officeDocument/2006/relationships/hyperlink" Target="https://www.instagram.com/bookswithvansh/" TargetMode="External"/><Relationship Id="rId6" Type="http://schemas.openxmlformats.org/officeDocument/2006/relationships/hyperlink" Target="https://www.instagram.com/a.readers.corner/" TargetMode="External"/><Relationship Id="rId7" Type="http://schemas.openxmlformats.org/officeDocument/2006/relationships/hyperlink" Target="https://missbookthief.com/" TargetMode="External"/><Relationship Id="rId8" Type="http://schemas.openxmlformats.org/officeDocument/2006/relationships/hyperlink" Target="https://www.thebooksatchel.com/" TargetMode="External"/><Relationship Id="rId9" Type="http://schemas.openxmlformats.org/officeDocument/2006/relationships/hyperlink" Target="https://www.instagram.com/swetasamota/" TargetMode="External"/><Relationship Id="rId10" Type="http://schemas.openxmlformats.org/officeDocument/2006/relationships/hyperlink" Target="https://www.instagram.com/goodvibeswithankit/" TargetMode="External"/><Relationship Id="rId11" Type="http://schemas.openxmlformats.org/officeDocument/2006/relationships/hyperlink" Target="https://www.youtube.com/c/indianbooktuber" TargetMode="External"/><Relationship Id="rId12" Type="http://schemas.openxmlformats.org/officeDocument/2006/relationships/hyperlink" Target="https://indianbookclub.substack.com/" TargetMode="External"/><Relationship Id="rId13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instagram.com/cubbonreads/" TargetMode="External"/><Relationship Id="rId2" Type="http://schemas.openxmlformats.org/officeDocument/2006/relationships/hyperlink" Target="https://www.instagram.com/cubbonbookclub/" TargetMode="External"/><Relationship Id="rId3" Type="http://schemas.openxmlformats.org/officeDocument/2006/relationships/hyperlink" Target="https://www.instagram.com/pune.reads/" TargetMode="External"/><Relationship Id="rId4" Type="http://schemas.openxmlformats.org/officeDocument/2006/relationships/hyperlink" Target="https://www.instagram.com/hyderabadreads/" TargetMode="External"/><Relationship Id="rId5" Type="http://schemas.openxmlformats.org/officeDocument/2006/relationships/hyperlink" Target="https://www.instagram.com/bandrareads/" TargetMode="External"/><Relationship Id="rId6" Type="http://schemas.openxmlformats.org/officeDocument/2006/relationships/hyperlink" Target="https://www.instagram.com/brokebombay/" TargetMode="External"/><Relationship Id="rId7" Type="http://schemas.openxmlformats.org/officeDocument/2006/relationships/hyperlink" Target="https://x.com/BibliophilesBlr" TargetMode="External"/><Relationship Id="rId8" Type="http://schemas.openxmlformats.org/officeDocument/2006/relationships/hyperlink" Target="https://x.com/Babelfish_reads" TargetMode="External"/><Relationship Id="rId9" Type="http://schemas.openxmlformats.org/officeDocument/2006/relationships/hyperlink" Target="https://www.meetup.com/dbl-join/" TargetMode="External"/><Relationship Id="rId10" Type="http://schemas.openxmlformats.org/officeDocument/2006/relationships/hyperlink" Target="https://www.meetup.com/book-reading-club/" TargetMode="External"/><Relationship Id="rId11" Type="http://schemas.openxmlformats.org/officeDocument/2006/relationships/hyperlink" Target="https://www.meetup.com/bangalore-book-reading-tea-club/" TargetMode="External"/><Relationship Id="rId12" Type="http://schemas.openxmlformats.org/officeDocument/2006/relationships/hyperlink" Target="https://www.instagram.com/karunaskitaabclub/" TargetMode="External"/><Relationship Id="rId13" Type="http://schemas.openxmlformats.org/officeDocument/2006/relationships/hyperlink" Target="https://www.instagram.com/indiareadwithus/" TargetMode="External"/><Relationship Id="rId14" Type="http://schemas.openxmlformats.org/officeDocument/2006/relationships/hyperlink" Target="https://silentbook.club/" TargetMode="External"/><Relationship Id="rId15" Type="http://schemas.openxmlformats.org/officeDocument/2006/relationships/hyperlink" Target="https://www.goodreads.com/group/show_tag/book-exchange" TargetMode="External"/><Relationship Id="rId16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instagram.com/kitabkhana/" TargetMode="External"/><Relationship Id="rId2" Type="http://schemas.openxmlformats.org/officeDocument/2006/relationships/hyperlink" Target="https://www.instagram.com/thewhitecrowbooksandcoffee/" TargetMode="External"/><Relationship Id="rId3" Type="http://schemas.openxmlformats.org/officeDocument/2006/relationships/hyperlink" Target="https://champaca.in/" TargetMode="External"/><Relationship Id="rId4" Type="http://schemas.openxmlformats.org/officeDocument/2006/relationships/hyperlink" Target="https://en.wikipedia.org/wiki/Bahrisons_Booksellers" TargetMode="External"/><Relationship Id="rId5" Type="http://schemas.openxmlformats.org/officeDocument/2006/relationships/hyperlink" Target="https://www.attagalatta.com/" TargetMode="External"/><Relationship Id="rId6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00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45" hidden="false" customHeight="true" outlineLevel="0" collapsed="false">
      <c r="B6" s="5" t="s">
        <v>3</v>
      </c>
      <c r="C6" s="6" t="s">
        <v>4</v>
      </c>
    </row>
    <row r="7" customFormat="false" ht="45" hidden="false" customHeight="true" outlineLevel="0" collapsed="false">
      <c r="B7" s="5" t="s">
        <v>5</v>
      </c>
      <c r="C7" s="6" t="s">
        <v>6</v>
      </c>
    </row>
    <row r="8" customFormat="false" ht="30" hidden="false" customHeight="true" outlineLevel="0" collapsed="false">
      <c r="B8" s="5" t="s">
        <v>7</v>
      </c>
      <c r="C8" s="6" t="s">
        <v>8</v>
      </c>
    </row>
    <row r="9" customFormat="false" ht="45" hidden="false" customHeight="true" outlineLevel="0" collapsed="false">
      <c r="B9" s="5" t="s">
        <v>9</v>
      </c>
      <c r="C9" s="6" t="s">
        <v>10</v>
      </c>
    </row>
    <row r="11" customFormat="false" ht="15" hidden="false" customHeight="true" outlineLevel="0" collapsed="false">
      <c r="B11" s="4" t="s">
        <v>11</v>
      </c>
    </row>
    <row r="12" customFormat="false" ht="45" hidden="false" customHeight="true" outlineLevel="0" collapsed="false">
      <c r="B12" s="5" t="s">
        <v>12</v>
      </c>
      <c r="C12" s="6" t="s">
        <v>13</v>
      </c>
    </row>
    <row r="13" customFormat="false" ht="45" hidden="false" customHeight="true" outlineLevel="0" collapsed="false">
      <c r="B13" s="5" t="s">
        <v>14</v>
      </c>
      <c r="C13" s="6" t="s">
        <v>15</v>
      </c>
    </row>
    <row r="14" customFormat="false" ht="30" hidden="false" customHeight="true" outlineLevel="0" collapsed="false">
      <c r="B14" s="5" t="s">
        <v>16</v>
      </c>
      <c r="C14" s="6" t="s">
        <v>17</v>
      </c>
    </row>
    <row r="15" customFormat="false" ht="45" hidden="false" customHeight="true" outlineLevel="0" collapsed="false">
      <c r="B15" s="5" t="s">
        <v>18</v>
      </c>
      <c r="C15" s="6" t="s">
        <v>19</v>
      </c>
    </row>
    <row r="17" customFormat="false" ht="15" hidden="false" customHeight="true" outlineLevel="0" collapsed="false">
      <c r="B17" s="4" t="s">
        <v>20</v>
      </c>
    </row>
    <row r="18" customFormat="false" ht="45" hidden="false" customHeight="true" outlineLevel="0" collapsed="false">
      <c r="B18" s="5" t="s">
        <v>21</v>
      </c>
      <c r="C18" s="6" t="s">
        <v>22</v>
      </c>
    </row>
    <row r="19" customFormat="false" ht="30" hidden="false" customHeight="true" outlineLevel="0" collapsed="false">
      <c r="B19" s="5" t="s">
        <v>23</v>
      </c>
      <c r="C19" s="6" t="s">
        <v>24</v>
      </c>
    </row>
    <row r="20" customFormat="false" ht="45" hidden="false" customHeight="true" outlineLevel="0" collapsed="false">
      <c r="B20" s="5" t="s">
        <v>25</v>
      </c>
      <c r="C20" s="6" t="s">
        <v>26</v>
      </c>
    </row>
    <row r="22" customFormat="false" ht="45" hidden="false" customHeight="true" outlineLevel="0" collapsed="false">
      <c r="B22" s="5" t="s">
        <v>27</v>
      </c>
      <c r="C22" s="6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26"/>
    <col collapsed="false" customWidth="true" hidden="false" outlineLevel="0" max="9" min="9" style="0" width="34"/>
    <col collapsed="false" customWidth="true" hidden="false" outlineLevel="0" max="10" min="10" style="0" width="30"/>
    <col collapsed="false" customWidth="true" hidden="false" outlineLevel="0" max="11" min="11" style="0" width="60"/>
    <col collapsed="false" customWidth="true" hidden="false" outlineLevel="0" max="12" min="12" style="0" width="40"/>
    <col collapsed="false" customWidth="true" hidden="false" outlineLevel="0" max="13" min="13" style="0" width="15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7" t="s">
        <v>29</v>
      </c>
    </row>
    <row r="2" customFormat="false" ht="15" hidden="false" customHeight="false" outlineLevel="0" collapsed="false">
      <c r="A2" s="8" t="s">
        <v>30</v>
      </c>
    </row>
    <row r="4" customFormat="false" ht="31.5" hidden="false" customHeight="true" outlineLevel="0" collapsed="false">
      <c r="A4" s="9" t="s">
        <v>31</v>
      </c>
      <c r="B4" s="9" t="s">
        <v>32</v>
      </c>
      <c r="C4" s="9" t="s">
        <v>33</v>
      </c>
      <c r="D4" s="9" t="s">
        <v>34</v>
      </c>
      <c r="E4" s="9" t="s">
        <v>35</v>
      </c>
      <c r="F4" s="9" t="s">
        <v>36</v>
      </c>
      <c r="G4" s="9" t="s">
        <v>37</v>
      </c>
      <c r="H4" s="9" t="s">
        <v>38</v>
      </c>
      <c r="I4" s="9" t="s">
        <v>39</v>
      </c>
      <c r="J4" s="9" t="s">
        <v>40</v>
      </c>
      <c r="K4" s="9" t="s">
        <v>41</v>
      </c>
      <c r="L4" s="9" t="s">
        <v>42</v>
      </c>
      <c r="M4" s="9" t="s">
        <v>43</v>
      </c>
      <c r="N4" s="9" t="s">
        <v>44</v>
      </c>
    </row>
    <row r="5" customFormat="false" ht="61.5" hidden="false" customHeight="true" outlineLevel="0" collapsed="false">
      <c r="A5" s="10" t="n">
        <v>1</v>
      </c>
      <c r="B5" s="11" t="s">
        <v>45</v>
      </c>
      <c r="C5" s="10" t="s">
        <v>46</v>
      </c>
      <c r="D5" s="11" t="s">
        <v>47</v>
      </c>
      <c r="E5" s="12" t="s">
        <v>48</v>
      </c>
      <c r="F5" s="10" t="s">
        <v>37</v>
      </c>
      <c r="G5" s="13" t="s">
        <v>49</v>
      </c>
      <c r="H5" s="12" t="s">
        <v>50</v>
      </c>
      <c r="I5" s="12" t="s">
        <v>51</v>
      </c>
      <c r="J5" s="12" t="s">
        <v>52</v>
      </c>
      <c r="K5" s="12" t="s">
        <v>53</v>
      </c>
      <c r="L5" s="14" t="s">
        <v>54</v>
      </c>
      <c r="M5" s="15" t="s">
        <v>55</v>
      </c>
      <c r="N5" s="16"/>
    </row>
    <row r="6" customFormat="false" ht="61.5" hidden="false" customHeight="true" outlineLevel="0" collapsed="false">
      <c r="A6" s="17" t="n">
        <v>2</v>
      </c>
      <c r="B6" s="18" t="s">
        <v>56</v>
      </c>
      <c r="C6" s="17" t="s">
        <v>57</v>
      </c>
      <c r="D6" s="18" t="s">
        <v>58</v>
      </c>
      <c r="E6" s="19" t="s">
        <v>59</v>
      </c>
      <c r="F6" s="17" t="s">
        <v>60</v>
      </c>
      <c r="G6" s="13" t="s">
        <v>61</v>
      </c>
      <c r="H6" s="19" t="s">
        <v>62</v>
      </c>
      <c r="I6" s="19" t="s">
        <v>63</v>
      </c>
      <c r="J6" s="19" t="s">
        <v>64</v>
      </c>
      <c r="K6" s="19" t="s">
        <v>65</v>
      </c>
      <c r="L6" s="20" t="s">
        <v>66</v>
      </c>
      <c r="M6" s="15" t="s">
        <v>55</v>
      </c>
      <c r="N6" s="16"/>
    </row>
    <row r="7" customFormat="false" ht="61.5" hidden="false" customHeight="true" outlineLevel="0" collapsed="false">
      <c r="A7" s="10" t="n">
        <v>3</v>
      </c>
      <c r="B7" s="11" t="s">
        <v>67</v>
      </c>
      <c r="C7" s="10" t="s">
        <v>68</v>
      </c>
      <c r="D7" s="11" t="s">
        <v>69</v>
      </c>
      <c r="E7" s="12" t="s">
        <v>70</v>
      </c>
      <c r="F7" s="10" t="s">
        <v>71</v>
      </c>
      <c r="G7" s="21" t="s">
        <v>72</v>
      </c>
      <c r="H7" s="12" t="s">
        <v>73</v>
      </c>
      <c r="I7" s="12" t="s">
        <v>74</v>
      </c>
      <c r="J7" s="12" t="s">
        <v>75</v>
      </c>
      <c r="K7" s="12" t="s">
        <v>76</v>
      </c>
      <c r="L7" s="14" t="s">
        <v>77</v>
      </c>
      <c r="M7" s="15" t="s">
        <v>55</v>
      </c>
      <c r="N7" s="16"/>
    </row>
    <row r="8" customFormat="false" ht="61.5" hidden="false" customHeight="true" outlineLevel="0" collapsed="false">
      <c r="A8" s="17" t="n">
        <v>4</v>
      </c>
      <c r="B8" s="18" t="s">
        <v>78</v>
      </c>
      <c r="C8" s="17" t="s">
        <v>46</v>
      </c>
      <c r="D8" s="18" t="s">
        <v>79</v>
      </c>
      <c r="E8" s="19" t="s">
        <v>80</v>
      </c>
      <c r="F8" s="17" t="s">
        <v>81</v>
      </c>
      <c r="G8" s="21" t="s">
        <v>82</v>
      </c>
      <c r="H8" s="19" t="s">
        <v>83</v>
      </c>
      <c r="I8" s="19" t="s">
        <v>84</v>
      </c>
      <c r="J8" s="19" t="s">
        <v>85</v>
      </c>
      <c r="K8" s="19" t="s">
        <v>86</v>
      </c>
      <c r="L8" s="20" t="s">
        <v>87</v>
      </c>
      <c r="M8" s="15" t="s">
        <v>55</v>
      </c>
      <c r="N8" s="16"/>
    </row>
    <row r="9" customFormat="false" ht="61.5" hidden="false" customHeight="true" outlineLevel="0" collapsed="false">
      <c r="A9" s="10" t="n">
        <v>5</v>
      </c>
      <c r="B9" s="11" t="s">
        <v>88</v>
      </c>
      <c r="C9" s="10" t="s">
        <v>89</v>
      </c>
      <c r="D9" s="11" t="s">
        <v>90</v>
      </c>
      <c r="E9" s="12" t="s">
        <v>91</v>
      </c>
      <c r="F9" s="10" t="s">
        <v>92</v>
      </c>
      <c r="G9" s="13" t="s">
        <v>93</v>
      </c>
      <c r="H9" s="12" t="s">
        <v>94</v>
      </c>
      <c r="I9" s="12" t="s">
        <v>95</v>
      </c>
      <c r="J9" s="12" t="s">
        <v>96</v>
      </c>
      <c r="K9" s="12" t="s">
        <v>97</v>
      </c>
      <c r="L9" s="14" t="s">
        <v>98</v>
      </c>
      <c r="M9" s="15" t="s">
        <v>55</v>
      </c>
      <c r="N9" s="16"/>
    </row>
    <row r="10" customFormat="false" ht="61.5" hidden="false" customHeight="true" outlineLevel="0" collapsed="false">
      <c r="A10" s="17" t="n">
        <v>6</v>
      </c>
      <c r="B10" s="18" t="s">
        <v>99</v>
      </c>
      <c r="C10" s="17" t="s">
        <v>46</v>
      </c>
      <c r="D10" s="18" t="s">
        <v>100</v>
      </c>
      <c r="E10" s="19" t="s">
        <v>101</v>
      </c>
      <c r="F10" s="17" t="s">
        <v>102</v>
      </c>
      <c r="G10" s="21" t="s">
        <v>103</v>
      </c>
      <c r="H10" s="19" t="s">
        <v>104</v>
      </c>
      <c r="I10" s="19" t="s">
        <v>105</v>
      </c>
      <c r="J10" s="19" t="s">
        <v>106</v>
      </c>
      <c r="K10" s="19" t="s">
        <v>107</v>
      </c>
      <c r="L10" s="20" t="s">
        <v>108</v>
      </c>
      <c r="M10" s="15" t="s">
        <v>55</v>
      </c>
      <c r="N10" s="16"/>
    </row>
    <row r="11" customFormat="false" ht="61.5" hidden="false" customHeight="true" outlineLevel="0" collapsed="false">
      <c r="A11" s="10" t="n">
        <v>7</v>
      </c>
      <c r="B11" s="11" t="s">
        <v>109</v>
      </c>
      <c r="C11" s="10" t="s">
        <v>57</v>
      </c>
      <c r="D11" s="11" t="s">
        <v>110</v>
      </c>
      <c r="E11" s="12" t="s">
        <v>111</v>
      </c>
      <c r="F11" s="10" t="s">
        <v>112</v>
      </c>
      <c r="G11" s="13" t="s">
        <v>113</v>
      </c>
      <c r="H11" s="12" t="s">
        <v>114</v>
      </c>
      <c r="I11" s="12" t="s">
        <v>115</v>
      </c>
      <c r="J11" s="12" t="s">
        <v>116</v>
      </c>
      <c r="K11" s="12" t="s">
        <v>117</v>
      </c>
      <c r="L11" s="14" t="s">
        <v>118</v>
      </c>
      <c r="M11" s="15" t="s">
        <v>55</v>
      </c>
      <c r="N11" s="16"/>
    </row>
    <row r="12" customFormat="false" ht="61.5" hidden="false" customHeight="true" outlineLevel="0" collapsed="false">
      <c r="A12" s="17" t="n">
        <v>8</v>
      </c>
      <c r="B12" s="18" t="s">
        <v>119</v>
      </c>
      <c r="C12" s="17" t="s">
        <v>120</v>
      </c>
      <c r="D12" s="18" t="s">
        <v>121</v>
      </c>
      <c r="E12" s="19" t="s">
        <v>59</v>
      </c>
      <c r="F12" s="17" t="s">
        <v>122</v>
      </c>
      <c r="G12" s="21" t="s">
        <v>123</v>
      </c>
      <c r="H12" s="19" t="s">
        <v>123</v>
      </c>
      <c r="I12" s="19" t="s">
        <v>124</v>
      </c>
      <c r="J12" s="19" t="s">
        <v>125</v>
      </c>
      <c r="K12" s="19" t="s">
        <v>126</v>
      </c>
      <c r="L12" s="20" t="s">
        <v>127</v>
      </c>
      <c r="M12" s="15" t="s">
        <v>55</v>
      </c>
      <c r="N12" s="16"/>
    </row>
    <row r="13" customFormat="false" ht="61.5" hidden="false" customHeight="true" outlineLevel="0" collapsed="false">
      <c r="A13" s="10" t="n">
        <v>9</v>
      </c>
      <c r="B13" s="11" t="s">
        <v>128</v>
      </c>
      <c r="C13" s="10" t="s">
        <v>120</v>
      </c>
      <c r="D13" s="11" t="s">
        <v>129</v>
      </c>
      <c r="E13" s="12" t="s">
        <v>130</v>
      </c>
      <c r="F13" s="10" t="s">
        <v>131</v>
      </c>
      <c r="G13" s="21" t="s">
        <v>123</v>
      </c>
      <c r="H13" s="12" t="s">
        <v>132</v>
      </c>
      <c r="I13" s="12" t="s">
        <v>133</v>
      </c>
      <c r="J13" s="12" t="s">
        <v>134</v>
      </c>
      <c r="K13" s="12" t="s">
        <v>135</v>
      </c>
      <c r="L13" s="14" t="s">
        <v>136</v>
      </c>
      <c r="M13" s="15" t="s">
        <v>55</v>
      </c>
      <c r="N13" s="16"/>
    </row>
    <row r="14" customFormat="false" ht="61.5" hidden="false" customHeight="true" outlineLevel="0" collapsed="false">
      <c r="A14" s="17" t="n">
        <v>10</v>
      </c>
      <c r="B14" s="18" t="s">
        <v>137</v>
      </c>
      <c r="C14" s="17" t="s">
        <v>68</v>
      </c>
      <c r="D14" s="18" t="s">
        <v>129</v>
      </c>
      <c r="E14" s="19" t="s">
        <v>138</v>
      </c>
      <c r="F14" s="17" t="s">
        <v>122</v>
      </c>
      <c r="G14" s="21" t="s">
        <v>123</v>
      </c>
      <c r="H14" s="19" t="s">
        <v>139</v>
      </c>
      <c r="I14" s="19" t="s">
        <v>140</v>
      </c>
      <c r="J14" s="19" t="s">
        <v>141</v>
      </c>
      <c r="K14" s="19" t="s">
        <v>142</v>
      </c>
      <c r="L14" s="20" t="s">
        <v>143</v>
      </c>
      <c r="M14" s="15" t="s">
        <v>55</v>
      </c>
      <c r="N14" s="16"/>
    </row>
    <row r="15" customFormat="false" ht="61.5" hidden="false" customHeight="true" outlineLevel="0" collapsed="false">
      <c r="A15" s="10" t="n">
        <v>11</v>
      </c>
      <c r="B15" s="11" t="s">
        <v>144</v>
      </c>
      <c r="C15" s="10" t="s">
        <v>46</v>
      </c>
      <c r="D15" s="11" t="s">
        <v>145</v>
      </c>
      <c r="E15" s="12" t="s">
        <v>146</v>
      </c>
      <c r="F15" s="10" t="s">
        <v>147</v>
      </c>
      <c r="G15" s="21" t="s">
        <v>123</v>
      </c>
      <c r="H15" s="12" t="s">
        <v>148</v>
      </c>
      <c r="I15" s="12" t="s">
        <v>149</v>
      </c>
      <c r="J15" s="12" t="s">
        <v>150</v>
      </c>
      <c r="K15" s="12" t="s">
        <v>151</v>
      </c>
      <c r="L15" s="14" t="s">
        <v>152</v>
      </c>
      <c r="M15" s="15" t="s">
        <v>55</v>
      </c>
      <c r="N15" s="16"/>
    </row>
    <row r="16" customFormat="false" ht="61.5" hidden="false" customHeight="true" outlineLevel="0" collapsed="false">
      <c r="A16" s="17" t="n">
        <v>12</v>
      </c>
      <c r="B16" s="18" t="s">
        <v>153</v>
      </c>
      <c r="C16" s="17" t="s">
        <v>46</v>
      </c>
      <c r="D16" s="18" t="s">
        <v>154</v>
      </c>
      <c r="E16" s="19" t="s">
        <v>155</v>
      </c>
      <c r="F16" s="17" t="s">
        <v>156</v>
      </c>
      <c r="G16" s="21" t="s">
        <v>123</v>
      </c>
      <c r="H16" s="19" t="s">
        <v>148</v>
      </c>
      <c r="I16" s="19" t="s">
        <v>157</v>
      </c>
      <c r="J16" s="19" t="s">
        <v>158</v>
      </c>
      <c r="K16" s="19" t="s">
        <v>159</v>
      </c>
      <c r="L16" s="20" t="s">
        <v>160</v>
      </c>
      <c r="M16" s="15" t="s">
        <v>55</v>
      </c>
      <c r="N16" s="16"/>
    </row>
    <row r="17" customFormat="false" ht="61.5" hidden="false" customHeight="true" outlineLevel="0" collapsed="false">
      <c r="A17" s="10" t="n">
        <v>13</v>
      </c>
      <c r="B17" s="11" t="s">
        <v>161</v>
      </c>
      <c r="C17" s="10" t="s">
        <v>68</v>
      </c>
      <c r="D17" s="11" t="s">
        <v>162</v>
      </c>
      <c r="E17" s="12" t="s">
        <v>163</v>
      </c>
      <c r="F17" s="10" t="s">
        <v>122</v>
      </c>
      <c r="G17" s="21" t="s">
        <v>123</v>
      </c>
      <c r="H17" s="12" t="s">
        <v>148</v>
      </c>
      <c r="I17" s="12" t="s">
        <v>164</v>
      </c>
      <c r="J17" s="12" t="s">
        <v>165</v>
      </c>
      <c r="K17" s="12" t="s">
        <v>166</v>
      </c>
      <c r="L17" s="14" t="s">
        <v>167</v>
      </c>
      <c r="M17" s="15" t="s">
        <v>55</v>
      </c>
      <c r="N17" s="16"/>
    </row>
    <row r="18" customFormat="false" ht="61.5" hidden="false" customHeight="true" outlineLevel="0" collapsed="false">
      <c r="A18" s="17" t="n">
        <v>14</v>
      </c>
      <c r="B18" s="18" t="s">
        <v>168</v>
      </c>
      <c r="C18" s="17" t="s">
        <v>68</v>
      </c>
      <c r="D18" s="18" t="s">
        <v>169</v>
      </c>
      <c r="E18" s="19" t="s">
        <v>59</v>
      </c>
      <c r="F18" s="17" t="s">
        <v>122</v>
      </c>
      <c r="G18" s="21" t="s">
        <v>123</v>
      </c>
      <c r="H18" s="19" t="s">
        <v>148</v>
      </c>
      <c r="I18" s="19" t="s">
        <v>170</v>
      </c>
      <c r="J18" s="19" t="s">
        <v>171</v>
      </c>
      <c r="K18" s="19" t="s">
        <v>172</v>
      </c>
      <c r="L18" s="20" t="s">
        <v>152</v>
      </c>
      <c r="M18" s="15" t="s">
        <v>55</v>
      </c>
      <c r="N18" s="16"/>
    </row>
    <row r="19" customFormat="false" ht="61.5" hidden="false" customHeight="true" outlineLevel="0" collapsed="false">
      <c r="A19" s="10" t="n">
        <v>15</v>
      </c>
      <c r="B19" s="11" t="s">
        <v>173</v>
      </c>
      <c r="C19" s="10" t="s">
        <v>89</v>
      </c>
      <c r="D19" s="11" t="s">
        <v>174</v>
      </c>
      <c r="E19" s="12" t="s">
        <v>163</v>
      </c>
      <c r="F19" s="10" t="s">
        <v>122</v>
      </c>
      <c r="G19" s="21" t="s">
        <v>123</v>
      </c>
      <c r="H19" s="12" t="s">
        <v>148</v>
      </c>
      <c r="I19" s="12" t="s">
        <v>175</v>
      </c>
      <c r="J19" s="12" t="s">
        <v>176</v>
      </c>
      <c r="K19" s="12" t="s">
        <v>177</v>
      </c>
      <c r="L19" s="14" t="s">
        <v>178</v>
      </c>
      <c r="M19" s="15" t="s">
        <v>55</v>
      </c>
      <c r="N19" s="16"/>
    </row>
    <row r="20" customFormat="false" ht="61.5" hidden="false" customHeight="true" outlineLevel="0" collapsed="false">
      <c r="A20" s="17" t="n">
        <v>16</v>
      </c>
      <c r="B20" s="18" t="s">
        <v>179</v>
      </c>
      <c r="C20" s="17" t="s">
        <v>120</v>
      </c>
      <c r="D20" s="18" t="s">
        <v>174</v>
      </c>
      <c r="E20" s="19" t="s">
        <v>163</v>
      </c>
      <c r="F20" s="17" t="s">
        <v>122</v>
      </c>
      <c r="G20" s="21" t="s">
        <v>123</v>
      </c>
      <c r="H20" s="19" t="s">
        <v>148</v>
      </c>
      <c r="I20" s="19" t="s">
        <v>180</v>
      </c>
      <c r="J20" s="19" t="s">
        <v>176</v>
      </c>
      <c r="K20" s="19" t="s">
        <v>181</v>
      </c>
      <c r="L20" s="20" t="s">
        <v>182</v>
      </c>
      <c r="M20" s="15" t="s">
        <v>55</v>
      </c>
      <c r="N20" s="16"/>
    </row>
    <row r="21" customFormat="false" ht="61.5" hidden="false" customHeight="true" outlineLevel="0" collapsed="false">
      <c r="A21" s="10" t="n">
        <v>17</v>
      </c>
      <c r="B21" s="11" t="s">
        <v>183</v>
      </c>
      <c r="C21" s="10" t="s">
        <v>68</v>
      </c>
      <c r="D21" s="11" t="s">
        <v>174</v>
      </c>
      <c r="E21" s="12" t="s">
        <v>163</v>
      </c>
      <c r="F21" s="10" t="s">
        <v>122</v>
      </c>
      <c r="G21" s="21" t="s">
        <v>123</v>
      </c>
      <c r="H21" s="12" t="s">
        <v>148</v>
      </c>
      <c r="I21" s="12" t="s">
        <v>184</v>
      </c>
      <c r="J21" s="12" t="s">
        <v>176</v>
      </c>
      <c r="K21" s="12" t="s">
        <v>185</v>
      </c>
      <c r="L21" s="14" t="s">
        <v>186</v>
      </c>
      <c r="M21" s="15" t="s">
        <v>55</v>
      </c>
      <c r="N21" s="16"/>
    </row>
    <row r="22" customFormat="false" ht="61.5" hidden="false" customHeight="true" outlineLevel="0" collapsed="false">
      <c r="A22" s="17" t="n">
        <v>18</v>
      </c>
      <c r="B22" s="18" t="s">
        <v>187</v>
      </c>
      <c r="C22" s="17" t="s">
        <v>57</v>
      </c>
      <c r="D22" s="18" t="s">
        <v>188</v>
      </c>
      <c r="E22" s="19" t="s">
        <v>189</v>
      </c>
      <c r="F22" s="17" t="s">
        <v>122</v>
      </c>
      <c r="G22" s="21" t="s">
        <v>123</v>
      </c>
      <c r="H22" s="19" t="s">
        <v>148</v>
      </c>
      <c r="I22" s="19" t="s">
        <v>190</v>
      </c>
      <c r="J22" s="19" t="s">
        <v>191</v>
      </c>
      <c r="K22" s="19" t="s">
        <v>192</v>
      </c>
      <c r="L22" s="20" t="s">
        <v>152</v>
      </c>
      <c r="M22" s="15" t="s">
        <v>55</v>
      </c>
      <c r="N22" s="16"/>
    </row>
    <row r="23" customFormat="false" ht="61.5" hidden="false" customHeight="true" outlineLevel="0" collapsed="false">
      <c r="A23" s="10" t="n">
        <v>19</v>
      </c>
      <c r="B23" s="11" t="s">
        <v>193</v>
      </c>
      <c r="C23" s="10" t="s">
        <v>57</v>
      </c>
      <c r="D23" s="11" t="s">
        <v>194</v>
      </c>
      <c r="E23" s="12" t="s">
        <v>195</v>
      </c>
      <c r="F23" s="10" t="s">
        <v>37</v>
      </c>
      <c r="G23" s="13" t="s">
        <v>196</v>
      </c>
      <c r="H23" s="12" t="s">
        <v>197</v>
      </c>
      <c r="I23" s="12" t="s">
        <v>198</v>
      </c>
      <c r="J23" s="12" t="s">
        <v>199</v>
      </c>
      <c r="K23" s="12" t="s">
        <v>200</v>
      </c>
      <c r="L23" s="14" t="s">
        <v>201</v>
      </c>
      <c r="M23" s="15" t="s">
        <v>55</v>
      </c>
      <c r="N23" s="16"/>
    </row>
    <row r="24" customFormat="false" ht="61.5" hidden="false" customHeight="true" outlineLevel="0" collapsed="false">
      <c r="A24" s="17" t="n">
        <v>20</v>
      </c>
      <c r="B24" s="18" t="s">
        <v>202</v>
      </c>
      <c r="C24" s="17" t="s">
        <v>57</v>
      </c>
      <c r="D24" s="18" t="s">
        <v>203</v>
      </c>
      <c r="E24" s="19" t="s">
        <v>204</v>
      </c>
      <c r="F24" s="17" t="s">
        <v>205</v>
      </c>
      <c r="G24" s="21" t="s">
        <v>206</v>
      </c>
      <c r="H24" s="19" t="s">
        <v>207</v>
      </c>
      <c r="I24" s="19" t="s">
        <v>148</v>
      </c>
      <c r="J24" s="19" t="s">
        <v>208</v>
      </c>
      <c r="K24" s="19" t="s">
        <v>209</v>
      </c>
      <c r="L24" s="20" t="s">
        <v>210</v>
      </c>
      <c r="M24" s="15" t="s">
        <v>55</v>
      </c>
      <c r="N24" s="16"/>
    </row>
    <row r="25" customFormat="false" ht="61.5" hidden="false" customHeight="true" outlineLevel="0" collapsed="false">
      <c r="A25" s="10" t="n">
        <v>21</v>
      </c>
      <c r="B25" s="11" t="s">
        <v>211</v>
      </c>
      <c r="C25" s="10" t="s">
        <v>57</v>
      </c>
      <c r="D25" s="11" t="s">
        <v>212</v>
      </c>
      <c r="E25" s="12" t="s">
        <v>213</v>
      </c>
      <c r="F25" s="10" t="s">
        <v>122</v>
      </c>
      <c r="G25" s="21" t="s">
        <v>214</v>
      </c>
      <c r="H25" s="12" t="s">
        <v>148</v>
      </c>
      <c r="I25" s="12" t="s">
        <v>215</v>
      </c>
      <c r="J25" s="12" t="s">
        <v>176</v>
      </c>
      <c r="K25" s="12" t="s">
        <v>216</v>
      </c>
      <c r="L25" s="14" t="s">
        <v>217</v>
      </c>
      <c r="M25" s="15" t="s">
        <v>55</v>
      </c>
      <c r="N25" s="16"/>
    </row>
    <row r="26" customFormat="false" ht="61.5" hidden="false" customHeight="true" outlineLevel="0" collapsed="false">
      <c r="A26" s="17" t="n">
        <v>22</v>
      </c>
      <c r="B26" s="18" t="s">
        <v>218</v>
      </c>
      <c r="C26" s="17" t="s">
        <v>46</v>
      </c>
      <c r="D26" s="18" t="s">
        <v>219</v>
      </c>
      <c r="E26" s="19" t="s">
        <v>220</v>
      </c>
      <c r="F26" s="17" t="s">
        <v>205</v>
      </c>
      <c r="G26" s="21" t="s">
        <v>221</v>
      </c>
      <c r="H26" s="19" t="s">
        <v>148</v>
      </c>
      <c r="I26" s="19" t="s">
        <v>222</v>
      </c>
      <c r="J26" s="19" t="s">
        <v>223</v>
      </c>
      <c r="K26" s="19" t="s">
        <v>224</v>
      </c>
      <c r="L26" s="20" t="s">
        <v>225</v>
      </c>
      <c r="M26" s="15" t="s">
        <v>55</v>
      </c>
      <c r="N26" s="16"/>
    </row>
    <row r="27" customFormat="false" ht="61.5" hidden="false" customHeight="true" outlineLevel="0" collapsed="false">
      <c r="A27" s="10" t="n">
        <v>23</v>
      </c>
      <c r="B27" s="11" t="s">
        <v>226</v>
      </c>
      <c r="C27" s="10" t="s">
        <v>227</v>
      </c>
      <c r="D27" s="11" t="s">
        <v>228</v>
      </c>
      <c r="E27" s="12" t="s">
        <v>146</v>
      </c>
      <c r="F27" s="10" t="s">
        <v>122</v>
      </c>
      <c r="G27" s="21" t="s">
        <v>229</v>
      </c>
      <c r="H27" s="12" t="s">
        <v>148</v>
      </c>
      <c r="I27" s="12" t="s">
        <v>230</v>
      </c>
      <c r="J27" s="12" t="s">
        <v>231</v>
      </c>
      <c r="K27" s="12" t="s">
        <v>232</v>
      </c>
      <c r="L27" s="14" t="s">
        <v>233</v>
      </c>
      <c r="M27" s="15" t="s">
        <v>55</v>
      </c>
      <c r="N27" s="16"/>
    </row>
    <row r="28" customFormat="false" ht="61.5" hidden="false" customHeight="true" outlineLevel="0" collapsed="false">
      <c r="A28" s="17" t="n">
        <v>24</v>
      </c>
      <c r="B28" s="18" t="s">
        <v>234</v>
      </c>
      <c r="C28" s="17" t="s">
        <v>235</v>
      </c>
      <c r="D28" s="18" t="s">
        <v>236</v>
      </c>
      <c r="E28" s="19" t="s">
        <v>237</v>
      </c>
      <c r="F28" s="17" t="s">
        <v>238</v>
      </c>
      <c r="G28" s="21" t="s">
        <v>239</v>
      </c>
      <c r="H28" s="19" t="s">
        <v>148</v>
      </c>
      <c r="I28" s="19" t="s">
        <v>240</v>
      </c>
      <c r="J28" s="19" t="s">
        <v>241</v>
      </c>
      <c r="K28" s="19" t="s">
        <v>242</v>
      </c>
      <c r="L28" s="20" t="s">
        <v>243</v>
      </c>
      <c r="M28" s="15" t="s">
        <v>55</v>
      </c>
      <c r="N28" s="16"/>
    </row>
    <row r="30" customFormat="false" ht="15" hidden="false" customHeight="false" outlineLevel="0" collapsed="false">
      <c r="B30" s="8" t="s">
        <v>244</v>
      </c>
    </row>
  </sheetData>
  <autoFilter ref="A4:N28"/>
  <dataValidations count="1">
    <dataValidation allowBlank="true" errorStyle="stop" operator="between" showDropDown="false" showErrorMessage="false" showInputMessage="false" sqref="M5:M28" type="list">
      <formula1>"Not started,Researching,Contacted,In conversation,Won,Passed"</formula1>
      <formula2>0</formula2>
    </dataValidation>
  </dataValidations>
  <hyperlinks>
    <hyperlink ref="L5" r:id="rId1" display="https://champaca.in/pages/contact-us"/>
    <hyperlink ref="L6" r:id="rId2" display="https://kunzum.shop/pages/contact"/>
    <hyperlink ref="L7" r:id="rId3" display="https://www.kitabkhana.in/en/contact-us"/>
    <hyperlink ref="L8" r:id="rId4" display="https://www.attagalatta.com/"/>
    <hyperlink ref="L9" r:id="rId5" display="https://pagdandi.org/aboutus/"/>
    <hyperlink ref="L10" r:id="rId6" display="https://blossombookhouse.in/pages/about-us"/>
    <hyperlink ref="L11" r:id="rId7" display="https://www.booksatbahri.com/content/contactus/"/>
    <hyperlink ref="L12" r:id="rId8" display="https://scroll.in/article/1037700/we-want-to-help-people-to-discover-new-books-hyderabad-gets-a-new-independent-bookshop"/>
    <hyperlink ref="L13" r:id="rId9" display="https://www.instagram.com/aksharabookstore/"/>
    <hyperlink ref="L14" r:id="rId10" display="https://www.instagram.com/thewhitecrowbooksandcoffee/"/>
    <hyperlink ref="L15" r:id="rId11" display="https://openthemagazine.com/books/book-clubs-literary-company"/>
    <hyperlink ref="L16" r:id="rId12" display="https://x.com/BibliophilesBlr"/>
    <hyperlink ref="L17" r:id="rId13" display="https://www.instagram.com/brokebombay/"/>
    <hyperlink ref="L18" r:id="rId14" display="https://openthemagazine.com/books/book-clubs-literary-company"/>
    <hyperlink ref="L19" r:id="rId15" display="https://www.instagram.com/pune.reads/"/>
    <hyperlink ref="L20" r:id="rId16" display="https://www.instagram.com/hyderabadreads/"/>
    <hyperlink ref="L21" r:id="rId17" display="https://www.instagram.com/bandrareads/"/>
    <hyperlink ref="L22" r:id="rId18" display="https://openthemagazine.com/books/book-clubs-literary-company"/>
    <hyperlink ref="L23" r:id="rId19" display="https://www.mirandahouse.ac.in/administration/administration.php"/>
    <hyperlink ref="L24" r:id="rId20" display="https://www.ststephens.edu/english-lit-soc/"/>
    <hyperlink ref="L25" r:id="rId21" display="https://www.instagram.com/litclub.iitd/"/>
    <hyperlink ref="L26" r:id="rId22" display="https://christuniversity.in/departments/main%20campus/school%20of%20arts%20and%20humanities/english%20and%20cultural%20studies"/>
    <hyperlink ref="L27" r:id="rId23" display="https://www.instagram.com/indiareadwithus/"/>
    <hyperlink ref="L28" r:id="rId24" display="https://www.jaipurliteraturefestival.org/friend-of-the-festiva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26"/>
    <col collapsed="false" customWidth="true" hidden="false" outlineLevel="0" max="7" min="7" style="1" width="42"/>
    <col collapsed="false" customWidth="true" hidden="false" outlineLevel="0" max="8" min="8" style="1" width="14"/>
    <col collapsed="false" customWidth="true" hidden="false" outlineLevel="0" max="9" min="9" style="1" width="8"/>
    <col collapsed="false" customWidth="true" hidden="false" outlineLevel="0" max="10" min="10" style="1" width="10"/>
    <col collapsed="false" customWidth="true" hidden="false" outlineLevel="0" max="12" min="11" style="1" width="46"/>
    <col collapsed="false" customWidth="true" hidden="false" outlineLevel="0" max="13" min="13" style="1" width="12"/>
    <col collapsed="false" customWidth="true" hidden="false" outlineLevel="0" max="14" min="14" style="1" width="14"/>
    <col collapsed="false" customWidth="true" hidden="false" outlineLevel="0" max="15" min="15" style="1" width="12"/>
    <col collapsed="false" customWidth="true" hidden="false" outlineLevel="0" max="16" min="16" style="1" width="16"/>
    <col collapsed="false" customWidth="true" hidden="false" outlineLevel="0" max="17" min="17" style="1" width="30"/>
  </cols>
  <sheetData>
    <row r="1" customFormat="false" ht="17.25" hidden="false" customHeight="true" outlineLevel="0" collapsed="false">
      <c r="A1" s="22" t="s">
        <v>245</v>
      </c>
    </row>
    <row r="2" customFormat="false" ht="15" hidden="false" customHeight="true" outlineLevel="0" collapsed="false">
      <c r="A2" s="3" t="s">
        <v>246</v>
      </c>
    </row>
    <row r="4" customFormat="false" ht="30" hidden="false" customHeight="true" outlineLevel="0" collapsed="false">
      <c r="A4" s="9" t="s">
        <v>247</v>
      </c>
      <c r="B4" s="9" t="s">
        <v>248</v>
      </c>
      <c r="C4" s="9" t="s">
        <v>249</v>
      </c>
      <c r="D4" s="9" t="s">
        <v>250</v>
      </c>
      <c r="E4" s="9" t="s">
        <v>251</v>
      </c>
      <c r="F4" s="9" t="s">
        <v>252</v>
      </c>
      <c r="G4" s="9" t="s">
        <v>253</v>
      </c>
      <c r="H4" s="9" t="s">
        <v>254</v>
      </c>
      <c r="I4" s="9" t="s">
        <v>255</v>
      </c>
      <c r="J4" s="9" t="s">
        <v>256</v>
      </c>
      <c r="K4" s="9" t="s">
        <v>257</v>
      </c>
      <c r="L4" s="9" t="s">
        <v>258</v>
      </c>
      <c r="M4" s="9" t="s">
        <v>259</v>
      </c>
      <c r="N4" s="9" t="s">
        <v>43</v>
      </c>
      <c r="O4" s="9" t="s">
        <v>101</v>
      </c>
      <c r="P4" s="9" t="s">
        <v>260</v>
      </c>
      <c r="Q4" s="9" t="s">
        <v>261</v>
      </c>
    </row>
    <row r="5" customFormat="false" ht="45.75" hidden="false" customHeight="true" outlineLevel="0" collapsed="false">
      <c r="A5" s="10" t="s">
        <v>262</v>
      </c>
      <c r="B5" s="10" t="s">
        <v>263</v>
      </c>
      <c r="C5" s="12" t="s">
        <v>264</v>
      </c>
      <c r="D5" s="10" t="s">
        <v>57</v>
      </c>
      <c r="E5" s="10" t="s">
        <v>265</v>
      </c>
      <c r="F5" s="12" t="s">
        <v>266</v>
      </c>
      <c r="G5" s="14" t="s">
        <v>267</v>
      </c>
      <c r="H5" s="10" t="s">
        <v>268</v>
      </c>
      <c r="I5" s="23" t="n">
        <v>5</v>
      </c>
      <c r="J5" s="24" t="str">
        <f aca="false">IF(I5="","",IF(I5&gt;=5,"P1 - now",IF(I5=4,"P2 - this month","P3 - later")))</f>
        <v>P1 - now</v>
      </c>
      <c r="K5" s="12" t="s">
        <v>269</v>
      </c>
      <c r="L5" s="12" t="s">
        <v>270</v>
      </c>
      <c r="M5" s="10" t="s">
        <v>271</v>
      </c>
      <c r="N5" s="15" t="s">
        <v>55</v>
      </c>
      <c r="O5" s="15"/>
      <c r="P5" s="16"/>
      <c r="Q5" s="12" t="s">
        <v>272</v>
      </c>
    </row>
    <row r="6" customFormat="false" ht="45.75" hidden="false" customHeight="true" outlineLevel="0" collapsed="false">
      <c r="A6" s="17" t="s">
        <v>273</v>
      </c>
      <c r="B6" s="17" t="s">
        <v>263</v>
      </c>
      <c r="C6" s="19" t="s">
        <v>274</v>
      </c>
      <c r="D6" s="17" t="s">
        <v>57</v>
      </c>
      <c r="E6" s="17" t="s">
        <v>275</v>
      </c>
      <c r="F6" s="19" t="s">
        <v>276</v>
      </c>
      <c r="G6" s="20" t="s">
        <v>210</v>
      </c>
      <c r="H6" s="17" t="s">
        <v>277</v>
      </c>
      <c r="I6" s="25" t="n">
        <v>5</v>
      </c>
      <c r="J6" s="26" t="str">
        <f aca="false">IF(I6="","",IF(I6&gt;=5,"P1 - now",IF(I6=4,"P2 - this month","P3 - later")))</f>
        <v>P1 - now</v>
      </c>
      <c r="K6" s="19" t="s">
        <v>278</v>
      </c>
      <c r="L6" s="19" t="s">
        <v>279</v>
      </c>
      <c r="M6" s="17" t="s">
        <v>271</v>
      </c>
      <c r="N6" s="15" t="s">
        <v>55</v>
      </c>
      <c r="O6" s="15"/>
      <c r="P6" s="16"/>
      <c r="Q6" s="19"/>
    </row>
    <row r="7" customFormat="false" ht="45.75" hidden="false" customHeight="true" outlineLevel="0" collapsed="false">
      <c r="A7" s="10" t="s">
        <v>280</v>
      </c>
      <c r="B7" s="10" t="s">
        <v>263</v>
      </c>
      <c r="C7" s="12" t="s">
        <v>211</v>
      </c>
      <c r="D7" s="10" t="s">
        <v>57</v>
      </c>
      <c r="E7" s="10" t="s">
        <v>265</v>
      </c>
      <c r="F7" s="12" t="s">
        <v>281</v>
      </c>
      <c r="G7" s="14" t="s">
        <v>217</v>
      </c>
      <c r="H7" s="10" t="s">
        <v>282</v>
      </c>
      <c r="I7" s="23" t="n">
        <v>4</v>
      </c>
      <c r="J7" s="24" t="str">
        <f aca="false">IF(I7="","",IF(I7&gt;=5,"P1 - now",IF(I7=4,"P2 - this month","P3 - later")))</f>
        <v>P2 - this month</v>
      </c>
      <c r="K7" s="12" t="s">
        <v>283</v>
      </c>
      <c r="L7" s="12" t="s">
        <v>284</v>
      </c>
      <c r="M7" s="10" t="s">
        <v>271</v>
      </c>
      <c r="N7" s="15" t="s">
        <v>55</v>
      </c>
      <c r="O7" s="15"/>
      <c r="P7" s="16"/>
      <c r="Q7" s="12" t="s">
        <v>285</v>
      </c>
    </row>
    <row r="8" customFormat="false" ht="45.75" hidden="false" customHeight="true" outlineLevel="0" collapsed="false">
      <c r="A8" s="17" t="s">
        <v>286</v>
      </c>
      <c r="B8" s="17" t="s">
        <v>263</v>
      </c>
      <c r="C8" s="19" t="s">
        <v>287</v>
      </c>
      <c r="D8" s="17" t="s">
        <v>57</v>
      </c>
      <c r="E8" s="17" t="s">
        <v>265</v>
      </c>
      <c r="F8" s="19" t="s">
        <v>288</v>
      </c>
      <c r="G8" s="20" t="s">
        <v>289</v>
      </c>
      <c r="H8" s="17" t="s">
        <v>282</v>
      </c>
      <c r="I8" s="25" t="n">
        <v>4</v>
      </c>
      <c r="J8" s="26" t="str">
        <f aca="false">IF(I8="","",IF(I8&gt;=5,"P1 - now",IF(I8=4,"P2 - this month","P3 - later")))</f>
        <v>P2 - this month</v>
      </c>
      <c r="K8" s="19" t="s">
        <v>290</v>
      </c>
      <c r="L8" s="19" t="s">
        <v>291</v>
      </c>
      <c r="M8" s="17" t="s">
        <v>292</v>
      </c>
      <c r="N8" s="15" t="s">
        <v>55</v>
      </c>
      <c r="O8" s="15"/>
      <c r="P8" s="16"/>
      <c r="Q8" s="19" t="s">
        <v>293</v>
      </c>
    </row>
    <row r="9" customFormat="false" ht="45.75" hidden="false" customHeight="true" outlineLevel="0" collapsed="false">
      <c r="A9" s="10" t="s">
        <v>294</v>
      </c>
      <c r="B9" s="10" t="s">
        <v>263</v>
      </c>
      <c r="C9" s="12" t="s">
        <v>295</v>
      </c>
      <c r="D9" s="10" t="s">
        <v>57</v>
      </c>
      <c r="E9" s="10" t="s">
        <v>265</v>
      </c>
      <c r="F9" s="12" t="s">
        <v>296</v>
      </c>
      <c r="G9" s="14" t="s">
        <v>297</v>
      </c>
      <c r="H9" s="10" t="s">
        <v>298</v>
      </c>
      <c r="I9" s="23" t="n">
        <v>4</v>
      </c>
      <c r="J9" s="24" t="str">
        <f aca="false">IF(I9="","",IF(I9&gt;=5,"P1 - now",IF(I9=4,"P2 - this month","P3 - later")))</f>
        <v>P2 - this month</v>
      </c>
      <c r="K9" s="12" t="s">
        <v>299</v>
      </c>
      <c r="L9" s="12" t="s">
        <v>300</v>
      </c>
      <c r="M9" s="10" t="s">
        <v>292</v>
      </c>
      <c r="N9" s="15" t="s">
        <v>55</v>
      </c>
      <c r="O9" s="15"/>
      <c r="P9" s="16"/>
      <c r="Q9" s="12"/>
    </row>
    <row r="10" customFormat="false" ht="45.75" hidden="false" customHeight="true" outlineLevel="0" collapsed="false">
      <c r="A10" s="17" t="s">
        <v>301</v>
      </c>
      <c r="B10" s="17" t="s">
        <v>263</v>
      </c>
      <c r="C10" s="19" t="s">
        <v>302</v>
      </c>
      <c r="D10" s="17" t="s">
        <v>68</v>
      </c>
      <c r="E10" s="17" t="s">
        <v>265</v>
      </c>
      <c r="F10" s="19" t="s">
        <v>303</v>
      </c>
      <c r="G10" s="20" t="s">
        <v>304</v>
      </c>
      <c r="H10" s="17" t="s">
        <v>282</v>
      </c>
      <c r="I10" s="25" t="n">
        <v>5</v>
      </c>
      <c r="J10" s="26" t="str">
        <f aca="false">IF(I10="","",IF(I10&gt;=5,"P1 - now",IF(I10=4,"P2 - this month","P3 - later")))</f>
        <v>P1 - now</v>
      </c>
      <c r="K10" s="19" t="s">
        <v>305</v>
      </c>
      <c r="L10" s="19" t="s">
        <v>306</v>
      </c>
      <c r="M10" s="17" t="s">
        <v>292</v>
      </c>
      <c r="N10" s="15" t="s">
        <v>55</v>
      </c>
      <c r="O10" s="15"/>
      <c r="P10" s="16"/>
      <c r="Q10" s="19" t="s">
        <v>307</v>
      </c>
    </row>
    <row r="11" customFormat="false" ht="45.75" hidden="false" customHeight="true" outlineLevel="0" collapsed="false">
      <c r="A11" s="10" t="s">
        <v>308</v>
      </c>
      <c r="B11" s="10" t="s">
        <v>263</v>
      </c>
      <c r="C11" s="12" t="s">
        <v>309</v>
      </c>
      <c r="D11" s="10" t="s">
        <v>68</v>
      </c>
      <c r="E11" s="10" t="s">
        <v>265</v>
      </c>
      <c r="F11" s="12" t="s">
        <v>296</v>
      </c>
      <c r="G11" s="12"/>
      <c r="H11" s="10" t="s">
        <v>310</v>
      </c>
      <c r="I11" s="23" t="n">
        <v>4</v>
      </c>
      <c r="J11" s="24" t="str">
        <f aca="false">IF(I11="","",IF(I11&gt;=5,"P1 - now",IF(I11=4,"P2 - this month","P3 - later")))</f>
        <v>P2 - this month</v>
      </c>
      <c r="K11" s="12" t="s">
        <v>311</v>
      </c>
      <c r="L11" s="12" t="s">
        <v>312</v>
      </c>
      <c r="M11" s="10" t="s">
        <v>292</v>
      </c>
      <c r="N11" s="15" t="s">
        <v>55</v>
      </c>
      <c r="O11" s="15"/>
      <c r="P11" s="16"/>
      <c r="Q11" s="12"/>
    </row>
    <row r="12" customFormat="false" ht="45.75" hidden="false" customHeight="true" outlineLevel="0" collapsed="false">
      <c r="A12" s="17" t="s">
        <v>313</v>
      </c>
      <c r="B12" s="17" t="s">
        <v>263</v>
      </c>
      <c r="C12" s="19" t="s">
        <v>314</v>
      </c>
      <c r="D12" s="17" t="s">
        <v>89</v>
      </c>
      <c r="E12" s="17" t="s">
        <v>265</v>
      </c>
      <c r="F12" s="19" t="s">
        <v>296</v>
      </c>
      <c r="G12" s="19"/>
      <c r="H12" s="17" t="s">
        <v>298</v>
      </c>
      <c r="I12" s="25" t="n">
        <v>5</v>
      </c>
      <c r="J12" s="26" t="str">
        <f aca="false">IF(I12="","",IF(I12&gt;=5,"P1 - now",IF(I12=4,"P2 - this month","P3 - later")))</f>
        <v>P1 - now</v>
      </c>
      <c r="K12" s="19" t="s">
        <v>315</v>
      </c>
      <c r="L12" s="19" t="s">
        <v>316</v>
      </c>
      <c r="M12" s="17" t="s">
        <v>292</v>
      </c>
      <c r="N12" s="15" t="s">
        <v>55</v>
      </c>
      <c r="O12" s="15"/>
      <c r="P12" s="16"/>
      <c r="Q12" s="19" t="s">
        <v>317</v>
      </c>
    </row>
    <row r="13" customFormat="false" ht="45.75" hidden="false" customHeight="true" outlineLevel="0" collapsed="false">
      <c r="A13" s="10" t="s">
        <v>318</v>
      </c>
      <c r="B13" s="10" t="s">
        <v>263</v>
      </c>
      <c r="C13" s="12" t="s">
        <v>319</v>
      </c>
      <c r="D13" s="10" t="s">
        <v>46</v>
      </c>
      <c r="E13" s="10" t="s">
        <v>265</v>
      </c>
      <c r="F13" s="12" t="s">
        <v>296</v>
      </c>
      <c r="G13" s="12"/>
      <c r="H13" s="10" t="s">
        <v>320</v>
      </c>
      <c r="I13" s="23" t="n">
        <v>5</v>
      </c>
      <c r="J13" s="24" t="str">
        <f aca="false">IF(I13="","",IF(I13&gt;=5,"P1 - now",IF(I13=4,"P2 - this month","P3 - later")))</f>
        <v>P1 - now</v>
      </c>
      <c r="K13" s="12" t="s">
        <v>321</v>
      </c>
      <c r="L13" s="12" t="s">
        <v>322</v>
      </c>
      <c r="M13" s="10" t="s">
        <v>292</v>
      </c>
      <c r="N13" s="15" t="s">
        <v>55</v>
      </c>
      <c r="O13" s="15"/>
      <c r="P13" s="16"/>
      <c r="Q13" s="12"/>
    </row>
    <row r="14" customFormat="false" ht="45.75" hidden="false" customHeight="true" outlineLevel="0" collapsed="false">
      <c r="A14" s="17" t="s">
        <v>323</v>
      </c>
      <c r="B14" s="17" t="s">
        <v>263</v>
      </c>
      <c r="C14" s="19" t="s">
        <v>324</v>
      </c>
      <c r="D14" s="17" t="s">
        <v>46</v>
      </c>
      <c r="E14" s="17" t="s">
        <v>265</v>
      </c>
      <c r="F14" s="19" t="s">
        <v>296</v>
      </c>
      <c r="G14" s="19"/>
      <c r="H14" s="17" t="s">
        <v>325</v>
      </c>
      <c r="I14" s="25" t="n">
        <v>4</v>
      </c>
      <c r="J14" s="26" t="str">
        <f aca="false">IF(I14="","",IF(I14&gt;=5,"P1 - now",IF(I14=4,"P2 - this month","P3 - later")))</f>
        <v>P2 - this month</v>
      </c>
      <c r="K14" s="19" t="s">
        <v>326</v>
      </c>
      <c r="L14" s="19" t="s">
        <v>327</v>
      </c>
      <c r="M14" s="17" t="s">
        <v>292</v>
      </c>
      <c r="N14" s="15" t="s">
        <v>55</v>
      </c>
      <c r="O14" s="15"/>
      <c r="P14" s="16"/>
      <c r="Q14" s="19" t="s">
        <v>328</v>
      </c>
    </row>
    <row r="15" customFormat="false" ht="45.75" hidden="false" customHeight="true" outlineLevel="0" collapsed="false">
      <c r="A15" s="10" t="s">
        <v>329</v>
      </c>
      <c r="B15" s="10" t="s">
        <v>263</v>
      </c>
      <c r="C15" s="12" t="s">
        <v>330</v>
      </c>
      <c r="D15" s="10" t="s">
        <v>120</v>
      </c>
      <c r="E15" s="10" t="s">
        <v>265</v>
      </c>
      <c r="F15" s="12" t="s">
        <v>296</v>
      </c>
      <c r="G15" s="12"/>
      <c r="H15" s="10" t="s">
        <v>310</v>
      </c>
      <c r="I15" s="23" t="n">
        <v>4</v>
      </c>
      <c r="J15" s="24" t="str">
        <f aca="false">IF(I15="","",IF(I15&gt;=5,"P1 - now",IF(I15=4,"P2 - this month","P3 - later")))</f>
        <v>P2 - this month</v>
      </c>
      <c r="K15" s="12" t="s">
        <v>331</v>
      </c>
      <c r="L15" s="12" t="s">
        <v>332</v>
      </c>
      <c r="M15" s="10" t="s">
        <v>292</v>
      </c>
      <c r="N15" s="15" t="s">
        <v>55</v>
      </c>
      <c r="O15" s="15"/>
      <c r="P15" s="16"/>
      <c r="Q15" s="12"/>
    </row>
    <row r="16" customFormat="false" ht="45.75" hidden="false" customHeight="true" outlineLevel="0" collapsed="false">
      <c r="A16" s="17" t="s">
        <v>333</v>
      </c>
      <c r="B16" s="17" t="s">
        <v>263</v>
      </c>
      <c r="C16" s="19" t="s">
        <v>334</v>
      </c>
      <c r="D16" s="17" t="s">
        <v>235</v>
      </c>
      <c r="E16" s="17" t="s">
        <v>265</v>
      </c>
      <c r="F16" s="19" t="s">
        <v>335</v>
      </c>
      <c r="G16" s="19"/>
      <c r="H16" s="17" t="s">
        <v>336</v>
      </c>
      <c r="I16" s="25" t="n">
        <v>4</v>
      </c>
      <c r="J16" s="26" t="str">
        <f aca="false">IF(I16="","",IF(I16&gt;=5,"P1 - now",IF(I16=4,"P2 - this month","P3 - later")))</f>
        <v>P2 - this month</v>
      </c>
      <c r="K16" s="19" t="s">
        <v>337</v>
      </c>
      <c r="L16" s="19" t="s">
        <v>338</v>
      </c>
      <c r="M16" s="17" t="s">
        <v>292</v>
      </c>
      <c r="N16" s="15" t="s">
        <v>55</v>
      </c>
      <c r="O16" s="15"/>
      <c r="P16" s="16"/>
      <c r="Q16" s="19" t="s">
        <v>339</v>
      </c>
    </row>
    <row r="18" customFormat="false" ht="15" hidden="false" customHeight="true" outlineLevel="0" collapsed="false">
      <c r="A18" s="3" t="s">
        <v>340</v>
      </c>
    </row>
  </sheetData>
  <autoFilter ref="A4:Q16"/>
  <dataValidations count="2">
    <dataValidation allowBlank="true" errorStyle="stop" operator="between" showDropDown="false" showErrorMessage="false" showInputMessage="false" sqref="N5:N16" type="list">
      <formula1>"Not started,Researching,Contacted,In conversation,Won,Passed"</formula1>
      <formula2>0</formula2>
    </dataValidation>
    <dataValidation allowBlank="true" errorStyle="stop" operator="between" showDropDown="false" showErrorMessage="false" showInputMessage="false" sqref="I5:I16" type="list">
      <formula1>"1,2,3,4,5"</formula1>
      <formula2>0</formula2>
    </dataValidation>
  </dataValidations>
  <hyperlinks>
    <hyperlink ref="G5" r:id="rId1" display="https://www.instagram.com/literarysocietymh/"/>
    <hyperlink ref="G6" r:id="rId2" display="https://www.ststephens.edu/english-lit-soc/"/>
    <hyperlink ref="G7" r:id="rId3" display="https://www.instagram.com/litclub.iitd/"/>
    <hyperlink ref="G8" r:id="rId4" display="https://lsr.edu.in/"/>
    <hyperlink ref="G9" r:id="rId5" display="https://www.du.ac.in/"/>
    <hyperlink ref="G10" r:id="rId6" display="https://xaviers.edu.in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26"/>
    <col collapsed="false" customWidth="true" hidden="false" outlineLevel="0" max="7" min="7" style="1" width="42"/>
    <col collapsed="false" customWidth="true" hidden="false" outlineLevel="0" max="8" min="8" style="1" width="14"/>
    <col collapsed="false" customWidth="true" hidden="false" outlineLevel="0" max="9" min="9" style="1" width="8"/>
    <col collapsed="false" customWidth="true" hidden="false" outlineLevel="0" max="10" min="10" style="1" width="10"/>
    <col collapsed="false" customWidth="true" hidden="false" outlineLevel="0" max="12" min="11" style="1" width="46"/>
    <col collapsed="false" customWidth="true" hidden="false" outlineLevel="0" max="13" min="13" style="1" width="12"/>
    <col collapsed="false" customWidth="true" hidden="false" outlineLevel="0" max="14" min="14" style="1" width="14"/>
    <col collapsed="false" customWidth="true" hidden="false" outlineLevel="0" max="15" min="15" style="1" width="12"/>
    <col collapsed="false" customWidth="true" hidden="false" outlineLevel="0" max="16" min="16" style="1" width="16"/>
    <col collapsed="false" customWidth="true" hidden="false" outlineLevel="0" max="17" min="17" style="1" width="30"/>
  </cols>
  <sheetData>
    <row r="1" customFormat="false" ht="17.25" hidden="false" customHeight="true" outlineLevel="0" collapsed="false">
      <c r="A1" s="22" t="s">
        <v>341</v>
      </c>
    </row>
    <row r="2" customFormat="false" ht="15" hidden="false" customHeight="true" outlineLevel="0" collapsed="false">
      <c r="A2" s="3" t="s">
        <v>342</v>
      </c>
    </row>
    <row r="4" customFormat="false" ht="30" hidden="false" customHeight="true" outlineLevel="0" collapsed="false">
      <c r="A4" s="9" t="s">
        <v>247</v>
      </c>
      <c r="B4" s="9" t="s">
        <v>248</v>
      </c>
      <c r="C4" s="9" t="s">
        <v>249</v>
      </c>
      <c r="D4" s="9" t="s">
        <v>250</v>
      </c>
      <c r="E4" s="9" t="s">
        <v>251</v>
      </c>
      <c r="F4" s="9" t="s">
        <v>252</v>
      </c>
      <c r="G4" s="9" t="s">
        <v>253</v>
      </c>
      <c r="H4" s="9" t="s">
        <v>254</v>
      </c>
      <c r="I4" s="9" t="s">
        <v>255</v>
      </c>
      <c r="J4" s="9" t="s">
        <v>256</v>
      </c>
      <c r="K4" s="9" t="s">
        <v>257</v>
      </c>
      <c r="L4" s="9" t="s">
        <v>258</v>
      </c>
      <c r="M4" s="9" t="s">
        <v>259</v>
      </c>
      <c r="N4" s="9" t="s">
        <v>43</v>
      </c>
      <c r="O4" s="9" t="s">
        <v>101</v>
      </c>
      <c r="P4" s="9" t="s">
        <v>260</v>
      </c>
      <c r="Q4" s="9" t="s">
        <v>261</v>
      </c>
    </row>
    <row r="5" customFormat="false" ht="45.75" hidden="false" customHeight="true" outlineLevel="0" collapsed="false">
      <c r="A5" s="10" t="s">
        <v>343</v>
      </c>
      <c r="B5" s="10" t="s">
        <v>344</v>
      </c>
      <c r="C5" s="12" t="s">
        <v>345</v>
      </c>
      <c r="D5" s="10" t="s">
        <v>235</v>
      </c>
      <c r="E5" s="10" t="s">
        <v>265</v>
      </c>
      <c r="F5" s="12" t="s">
        <v>346</v>
      </c>
      <c r="G5" s="14" t="s">
        <v>347</v>
      </c>
      <c r="H5" s="10" t="s">
        <v>348</v>
      </c>
      <c r="I5" s="23" t="n">
        <v>4</v>
      </c>
      <c r="J5" s="24" t="str">
        <f aca="false">IF(I5="","",IF(I5&gt;=5,"P1 - now",IF(I5=4,"P2 - this month","P3 - later")))</f>
        <v>P2 - this month</v>
      </c>
      <c r="K5" s="12" t="s">
        <v>349</v>
      </c>
      <c r="L5" s="12" t="s">
        <v>350</v>
      </c>
      <c r="M5" s="10" t="s">
        <v>271</v>
      </c>
      <c r="N5" s="15" t="s">
        <v>55</v>
      </c>
      <c r="O5" s="15"/>
      <c r="P5" s="16"/>
      <c r="Q5" s="12" t="s">
        <v>351</v>
      </c>
    </row>
    <row r="6" customFormat="false" ht="45.75" hidden="false" customHeight="true" outlineLevel="0" collapsed="false">
      <c r="A6" s="17" t="s">
        <v>352</v>
      </c>
      <c r="B6" s="17" t="s">
        <v>344</v>
      </c>
      <c r="C6" s="19" t="s">
        <v>353</v>
      </c>
      <c r="D6" s="17" t="s">
        <v>235</v>
      </c>
      <c r="E6" s="17" t="s">
        <v>265</v>
      </c>
      <c r="F6" s="19" t="s">
        <v>354</v>
      </c>
      <c r="G6" s="20" t="s">
        <v>355</v>
      </c>
      <c r="H6" s="17" t="s">
        <v>356</v>
      </c>
      <c r="I6" s="25" t="n">
        <v>5</v>
      </c>
      <c r="J6" s="26" t="str">
        <f aca="false">IF(I6="","",IF(I6&gt;=5,"P1 - now",IF(I6=4,"P2 - this month","P3 - later")))</f>
        <v>P1 - now</v>
      </c>
      <c r="K6" s="19" t="s">
        <v>357</v>
      </c>
      <c r="L6" s="19" t="s">
        <v>358</v>
      </c>
      <c r="M6" s="17" t="s">
        <v>271</v>
      </c>
      <c r="N6" s="15" t="s">
        <v>55</v>
      </c>
      <c r="O6" s="15"/>
      <c r="P6" s="16"/>
      <c r="Q6" s="19" t="s">
        <v>359</v>
      </c>
    </row>
    <row r="7" customFormat="false" ht="45.75" hidden="false" customHeight="true" outlineLevel="0" collapsed="false">
      <c r="A7" s="10" t="s">
        <v>360</v>
      </c>
      <c r="B7" s="10" t="s">
        <v>344</v>
      </c>
      <c r="C7" s="12" t="s">
        <v>361</v>
      </c>
      <c r="D7" s="10" t="s">
        <v>235</v>
      </c>
      <c r="E7" s="10" t="s">
        <v>265</v>
      </c>
      <c r="F7" s="12" t="s">
        <v>362</v>
      </c>
      <c r="G7" s="14" t="s">
        <v>363</v>
      </c>
      <c r="H7" s="10" t="s">
        <v>364</v>
      </c>
      <c r="I7" s="23" t="n">
        <v>4</v>
      </c>
      <c r="J7" s="24" t="str">
        <f aca="false">IF(I7="","",IF(I7&gt;=5,"P1 - now",IF(I7=4,"P2 - this month","P3 - later")))</f>
        <v>P2 - this month</v>
      </c>
      <c r="K7" s="12" t="s">
        <v>365</v>
      </c>
      <c r="L7" s="12" t="s">
        <v>366</v>
      </c>
      <c r="M7" s="10" t="s">
        <v>271</v>
      </c>
      <c r="N7" s="15" t="s">
        <v>55</v>
      </c>
      <c r="O7" s="15"/>
      <c r="P7" s="16"/>
      <c r="Q7" s="12" t="s">
        <v>367</v>
      </c>
    </row>
    <row r="8" customFormat="false" ht="45.75" hidden="false" customHeight="true" outlineLevel="0" collapsed="false">
      <c r="A8" s="17" t="s">
        <v>368</v>
      </c>
      <c r="B8" s="17" t="s">
        <v>344</v>
      </c>
      <c r="C8" s="19" t="s">
        <v>369</v>
      </c>
      <c r="D8" s="17" t="s">
        <v>235</v>
      </c>
      <c r="E8" s="17" t="s">
        <v>265</v>
      </c>
      <c r="F8" s="19" t="s">
        <v>370</v>
      </c>
      <c r="G8" s="20" t="s">
        <v>371</v>
      </c>
      <c r="H8" s="17" t="s">
        <v>372</v>
      </c>
      <c r="I8" s="25" t="n">
        <v>3</v>
      </c>
      <c r="J8" s="26" t="str">
        <f aca="false">IF(I8="","",IF(I8&gt;=5,"P1 - now",IF(I8=4,"P2 - this month","P3 - later")))</f>
        <v>P3 - later</v>
      </c>
      <c r="K8" s="19" t="s">
        <v>373</v>
      </c>
      <c r="L8" s="19" t="s">
        <v>374</v>
      </c>
      <c r="M8" s="17" t="s">
        <v>271</v>
      </c>
      <c r="N8" s="15" t="s">
        <v>55</v>
      </c>
      <c r="O8" s="15"/>
      <c r="P8" s="16"/>
      <c r="Q8" s="19"/>
    </row>
    <row r="9" customFormat="false" ht="45.75" hidden="false" customHeight="true" outlineLevel="0" collapsed="false">
      <c r="A9" s="10" t="s">
        <v>375</v>
      </c>
      <c r="B9" s="10" t="s">
        <v>344</v>
      </c>
      <c r="C9" s="12" t="s">
        <v>376</v>
      </c>
      <c r="D9" s="10" t="s">
        <v>235</v>
      </c>
      <c r="E9" s="10" t="s">
        <v>265</v>
      </c>
      <c r="F9" s="12" t="s">
        <v>377</v>
      </c>
      <c r="G9" s="14" t="s">
        <v>378</v>
      </c>
      <c r="H9" s="10" t="s">
        <v>379</v>
      </c>
      <c r="I9" s="23" t="n">
        <v>4</v>
      </c>
      <c r="J9" s="24" t="str">
        <f aca="false">IF(I9="","",IF(I9&gt;=5,"P1 - now",IF(I9=4,"P2 - this month","P3 - later")))</f>
        <v>P2 - this month</v>
      </c>
      <c r="K9" s="12" t="s">
        <v>380</v>
      </c>
      <c r="L9" s="12" t="s">
        <v>381</v>
      </c>
      <c r="M9" s="10" t="s">
        <v>271</v>
      </c>
      <c r="N9" s="15" t="s">
        <v>55</v>
      </c>
      <c r="O9" s="15"/>
      <c r="P9" s="16"/>
      <c r="Q9" s="12"/>
    </row>
    <row r="10" customFormat="false" ht="45.75" hidden="false" customHeight="true" outlineLevel="0" collapsed="false">
      <c r="A10" s="17" t="s">
        <v>382</v>
      </c>
      <c r="B10" s="17" t="s">
        <v>344</v>
      </c>
      <c r="C10" s="19" t="s">
        <v>383</v>
      </c>
      <c r="D10" s="17" t="s">
        <v>235</v>
      </c>
      <c r="E10" s="17" t="s">
        <v>265</v>
      </c>
      <c r="F10" s="19" t="s">
        <v>384</v>
      </c>
      <c r="G10" s="20" t="s">
        <v>385</v>
      </c>
      <c r="H10" s="17" t="s">
        <v>386</v>
      </c>
      <c r="I10" s="25" t="n">
        <v>4</v>
      </c>
      <c r="J10" s="26" t="str">
        <f aca="false">IF(I10="","",IF(I10&gt;=5,"P1 - now",IF(I10=4,"P2 - this month","P3 - later")))</f>
        <v>P2 - this month</v>
      </c>
      <c r="K10" s="19" t="s">
        <v>387</v>
      </c>
      <c r="L10" s="19" t="s">
        <v>388</v>
      </c>
      <c r="M10" s="17" t="s">
        <v>271</v>
      </c>
      <c r="N10" s="15" t="s">
        <v>55</v>
      </c>
      <c r="O10" s="15"/>
      <c r="P10" s="16"/>
      <c r="Q10" s="19" t="s">
        <v>389</v>
      </c>
    </row>
    <row r="11" customFormat="false" ht="45.75" hidden="false" customHeight="true" outlineLevel="0" collapsed="false">
      <c r="A11" s="10" t="s">
        <v>390</v>
      </c>
      <c r="B11" s="10" t="s">
        <v>344</v>
      </c>
      <c r="C11" s="12" t="s">
        <v>391</v>
      </c>
      <c r="D11" s="10" t="s">
        <v>235</v>
      </c>
      <c r="E11" s="10" t="s">
        <v>392</v>
      </c>
      <c r="F11" s="12" t="s">
        <v>393</v>
      </c>
      <c r="G11" s="14" t="s">
        <v>394</v>
      </c>
      <c r="H11" s="10" t="s">
        <v>395</v>
      </c>
      <c r="I11" s="23" t="n">
        <v>4</v>
      </c>
      <c r="J11" s="24" t="str">
        <f aca="false">IF(I11="","",IF(I11&gt;=5,"P1 - now",IF(I11=4,"P2 - this month","P3 - later")))</f>
        <v>P2 - this month</v>
      </c>
      <c r="K11" s="12" t="s">
        <v>396</v>
      </c>
      <c r="L11" s="12" t="s">
        <v>397</v>
      </c>
      <c r="M11" s="10" t="s">
        <v>271</v>
      </c>
      <c r="N11" s="15" t="s">
        <v>55</v>
      </c>
      <c r="O11" s="15"/>
      <c r="P11" s="16"/>
      <c r="Q11" s="12" t="s">
        <v>398</v>
      </c>
    </row>
    <row r="12" customFormat="false" ht="45.75" hidden="false" customHeight="true" outlineLevel="0" collapsed="false">
      <c r="A12" s="17" t="s">
        <v>399</v>
      </c>
      <c r="B12" s="17" t="s">
        <v>344</v>
      </c>
      <c r="C12" s="19" t="s">
        <v>400</v>
      </c>
      <c r="D12" s="17" t="s">
        <v>235</v>
      </c>
      <c r="E12" s="17" t="s">
        <v>401</v>
      </c>
      <c r="F12" s="19" t="s">
        <v>402</v>
      </c>
      <c r="G12" s="20" t="s">
        <v>403</v>
      </c>
      <c r="H12" s="17" t="s">
        <v>404</v>
      </c>
      <c r="I12" s="25" t="n">
        <v>3</v>
      </c>
      <c r="J12" s="26" t="str">
        <f aca="false">IF(I12="","",IF(I12&gt;=5,"P1 - now",IF(I12=4,"P2 - this month","P3 - later")))</f>
        <v>P3 - later</v>
      </c>
      <c r="K12" s="19" t="s">
        <v>405</v>
      </c>
      <c r="L12" s="19" t="s">
        <v>406</v>
      </c>
      <c r="M12" s="17" t="s">
        <v>271</v>
      </c>
      <c r="N12" s="15" t="s">
        <v>55</v>
      </c>
      <c r="O12" s="15"/>
      <c r="P12" s="16"/>
      <c r="Q12" s="19"/>
    </row>
    <row r="13" customFormat="false" ht="45.75" hidden="false" customHeight="true" outlineLevel="0" collapsed="false">
      <c r="A13" s="10" t="s">
        <v>407</v>
      </c>
      <c r="B13" s="10" t="s">
        <v>344</v>
      </c>
      <c r="C13" s="12" t="s">
        <v>408</v>
      </c>
      <c r="D13" s="10" t="s">
        <v>235</v>
      </c>
      <c r="E13" s="10" t="s">
        <v>265</v>
      </c>
      <c r="F13" s="12" t="s">
        <v>409</v>
      </c>
      <c r="G13" s="14" t="s">
        <v>410</v>
      </c>
      <c r="H13" s="10" t="s">
        <v>411</v>
      </c>
      <c r="I13" s="23" t="n">
        <v>3</v>
      </c>
      <c r="J13" s="24" t="str">
        <f aca="false">IF(I13="","",IF(I13&gt;=5,"P1 - now",IF(I13=4,"P2 - this month","P3 - later")))</f>
        <v>P3 - later</v>
      </c>
      <c r="K13" s="12" t="s">
        <v>412</v>
      </c>
      <c r="L13" s="12" t="s">
        <v>413</v>
      </c>
      <c r="M13" s="10" t="s">
        <v>271</v>
      </c>
      <c r="N13" s="15" t="s">
        <v>55</v>
      </c>
      <c r="O13" s="15"/>
      <c r="P13" s="16"/>
      <c r="Q13" s="12" t="s">
        <v>414</v>
      </c>
    </row>
    <row r="14" customFormat="false" ht="45.75" hidden="false" customHeight="true" outlineLevel="0" collapsed="false">
      <c r="A14" s="17" t="s">
        <v>415</v>
      </c>
      <c r="B14" s="17" t="s">
        <v>344</v>
      </c>
      <c r="C14" s="19" t="s">
        <v>416</v>
      </c>
      <c r="D14" s="17" t="s">
        <v>235</v>
      </c>
      <c r="E14" s="17" t="s">
        <v>265</v>
      </c>
      <c r="F14" s="19" t="s">
        <v>417</v>
      </c>
      <c r="G14" s="20" t="s">
        <v>418</v>
      </c>
      <c r="H14" s="17" t="s">
        <v>419</v>
      </c>
      <c r="I14" s="25" t="n">
        <v>3</v>
      </c>
      <c r="J14" s="26" t="str">
        <f aca="false">IF(I14="","",IF(I14&gt;=5,"P1 - now",IF(I14=4,"P2 - this month","P3 - later")))</f>
        <v>P3 - later</v>
      </c>
      <c r="K14" s="19" t="s">
        <v>420</v>
      </c>
      <c r="L14" s="19" t="s">
        <v>421</v>
      </c>
      <c r="M14" s="17" t="s">
        <v>271</v>
      </c>
      <c r="N14" s="15" t="s">
        <v>55</v>
      </c>
      <c r="O14" s="15"/>
      <c r="P14" s="16"/>
      <c r="Q14" s="19" t="s">
        <v>422</v>
      </c>
    </row>
    <row r="15" customFormat="false" ht="45.75" hidden="false" customHeight="true" outlineLevel="0" collapsed="false">
      <c r="A15" s="10" t="s">
        <v>423</v>
      </c>
      <c r="B15" s="10" t="s">
        <v>344</v>
      </c>
      <c r="C15" s="12" t="s">
        <v>424</v>
      </c>
      <c r="D15" s="10" t="s">
        <v>235</v>
      </c>
      <c r="E15" s="10" t="s">
        <v>425</v>
      </c>
      <c r="F15" s="12" t="s">
        <v>426</v>
      </c>
      <c r="G15" s="14" t="s">
        <v>427</v>
      </c>
      <c r="H15" s="10" t="s">
        <v>428</v>
      </c>
      <c r="I15" s="23" t="n">
        <v>3</v>
      </c>
      <c r="J15" s="24" t="str">
        <f aca="false">IF(I15="","",IF(I15&gt;=5,"P1 - now",IF(I15=4,"P2 - this month","P3 - later")))</f>
        <v>P3 - later</v>
      </c>
      <c r="K15" s="12" t="s">
        <v>429</v>
      </c>
      <c r="L15" s="12" t="s">
        <v>430</v>
      </c>
      <c r="M15" s="10" t="s">
        <v>271</v>
      </c>
      <c r="N15" s="15" t="s">
        <v>55</v>
      </c>
      <c r="O15" s="15"/>
      <c r="P15" s="16"/>
      <c r="Q15" s="12"/>
    </row>
    <row r="16" customFormat="false" ht="45.75" hidden="false" customHeight="true" outlineLevel="0" collapsed="false">
      <c r="A16" s="17" t="s">
        <v>431</v>
      </c>
      <c r="B16" s="17" t="s">
        <v>344</v>
      </c>
      <c r="C16" s="19" t="s">
        <v>432</v>
      </c>
      <c r="D16" s="17" t="s">
        <v>235</v>
      </c>
      <c r="E16" s="17" t="s">
        <v>433</v>
      </c>
      <c r="F16" s="19" t="s">
        <v>434</v>
      </c>
      <c r="G16" s="20" t="s">
        <v>435</v>
      </c>
      <c r="H16" s="17" t="s">
        <v>436</v>
      </c>
      <c r="I16" s="25" t="n">
        <v>4</v>
      </c>
      <c r="J16" s="26" t="str">
        <f aca="false">IF(I16="","",IF(I16&gt;=5,"P1 - now",IF(I16=4,"P2 - this month","P3 - later")))</f>
        <v>P2 - this month</v>
      </c>
      <c r="K16" s="19" t="s">
        <v>437</v>
      </c>
      <c r="L16" s="19" t="s">
        <v>438</v>
      </c>
      <c r="M16" s="17" t="s">
        <v>271</v>
      </c>
      <c r="N16" s="15" t="s">
        <v>55</v>
      </c>
      <c r="O16" s="15"/>
      <c r="P16" s="16"/>
      <c r="Q16" s="19" t="s">
        <v>439</v>
      </c>
    </row>
    <row r="18" customFormat="false" ht="15" hidden="false" customHeight="true" outlineLevel="0" collapsed="false">
      <c r="A18" s="3" t="s">
        <v>340</v>
      </c>
    </row>
  </sheetData>
  <autoFilter ref="A4:Q16"/>
  <dataValidations count="2">
    <dataValidation allowBlank="true" errorStyle="stop" operator="between" showDropDown="false" showErrorMessage="false" showInputMessage="false" sqref="N5:N16" type="list">
      <formula1>"Not started,Researching,Contacted,In conversation,Won,Passed"</formula1>
      <formula2>0</formula2>
    </dataValidation>
    <dataValidation allowBlank="true" errorStyle="stop" operator="between" showDropDown="false" showErrorMessage="false" showInputMessage="false" sqref="I5:I16" type="list">
      <formula1>"1,2,3,4,5"</formula1>
      <formula2>0</formula2>
    </dataValidation>
  </dataValidations>
  <hyperlinks>
    <hyperlink ref="G5" r:id="rId1" display="https://www.instagram.com/booklyreads/"/>
    <hyperlink ref="G6" r:id="rId2" display="https://www.instagram.com/nonauppal/"/>
    <hyperlink ref="G7" r:id="rId3" display="https://www.instagram.com/gaurikagandhi/"/>
    <hyperlink ref="G8" r:id="rId4" display="https://www.instagram.com/avinashshelf/"/>
    <hyperlink ref="G9" r:id="rId5" display="https://www.instagram.com/bookswithvansh/"/>
    <hyperlink ref="G10" r:id="rId6" display="https://www.instagram.com/a.readers.corner/"/>
    <hyperlink ref="G11" r:id="rId7" display="https://missbookthief.com/"/>
    <hyperlink ref="G12" r:id="rId8" display="https://www.thebooksatchel.com/"/>
    <hyperlink ref="G13" r:id="rId9" display="https://www.instagram.com/swetasamota/"/>
    <hyperlink ref="G14" r:id="rId10" display="https://www.instagram.com/goodvibeswithankit/"/>
    <hyperlink ref="G15" r:id="rId11" display="https://www.youtube.com/c/indianbooktuber"/>
    <hyperlink ref="G16" r:id="rId12" display="https://indianbookclub.substack.com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26"/>
    <col collapsed="false" customWidth="true" hidden="false" outlineLevel="0" max="7" min="7" style="1" width="42"/>
    <col collapsed="false" customWidth="true" hidden="false" outlineLevel="0" max="8" min="8" style="1" width="14"/>
    <col collapsed="false" customWidth="true" hidden="false" outlineLevel="0" max="9" min="9" style="1" width="8"/>
    <col collapsed="false" customWidth="true" hidden="false" outlineLevel="0" max="10" min="10" style="1" width="10"/>
    <col collapsed="false" customWidth="true" hidden="false" outlineLevel="0" max="12" min="11" style="1" width="46"/>
    <col collapsed="false" customWidth="true" hidden="false" outlineLevel="0" max="13" min="13" style="1" width="12"/>
    <col collapsed="false" customWidth="true" hidden="false" outlineLevel="0" max="14" min="14" style="1" width="14"/>
    <col collapsed="false" customWidth="true" hidden="false" outlineLevel="0" max="15" min="15" style="1" width="12"/>
    <col collapsed="false" customWidth="true" hidden="false" outlineLevel="0" max="16" min="16" style="1" width="16"/>
    <col collapsed="false" customWidth="true" hidden="false" outlineLevel="0" max="17" min="17" style="1" width="30"/>
  </cols>
  <sheetData>
    <row r="1" customFormat="false" ht="17.25" hidden="false" customHeight="true" outlineLevel="0" collapsed="false">
      <c r="A1" s="22" t="s">
        <v>440</v>
      </c>
    </row>
    <row r="2" customFormat="false" ht="15" hidden="false" customHeight="true" outlineLevel="0" collapsed="false">
      <c r="A2" s="3" t="s">
        <v>441</v>
      </c>
    </row>
    <row r="4" customFormat="false" ht="30" hidden="false" customHeight="true" outlineLevel="0" collapsed="false">
      <c r="A4" s="9" t="s">
        <v>247</v>
      </c>
      <c r="B4" s="9" t="s">
        <v>248</v>
      </c>
      <c r="C4" s="9" t="s">
        <v>249</v>
      </c>
      <c r="D4" s="9" t="s">
        <v>250</v>
      </c>
      <c r="E4" s="9" t="s">
        <v>251</v>
      </c>
      <c r="F4" s="9" t="s">
        <v>252</v>
      </c>
      <c r="G4" s="9" t="s">
        <v>253</v>
      </c>
      <c r="H4" s="9" t="s">
        <v>254</v>
      </c>
      <c r="I4" s="9" t="s">
        <v>255</v>
      </c>
      <c r="J4" s="9" t="s">
        <v>256</v>
      </c>
      <c r="K4" s="9" t="s">
        <v>257</v>
      </c>
      <c r="L4" s="9" t="s">
        <v>258</v>
      </c>
      <c r="M4" s="9" t="s">
        <v>259</v>
      </c>
      <c r="N4" s="9" t="s">
        <v>43</v>
      </c>
      <c r="O4" s="9" t="s">
        <v>101</v>
      </c>
      <c r="P4" s="9" t="s">
        <v>260</v>
      </c>
      <c r="Q4" s="9" t="s">
        <v>261</v>
      </c>
    </row>
    <row r="5" customFormat="false" ht="45.75" hidden="false" customHeight="true" outlineLevel="0" collapsed="false">
      <c r="A5" s="10" t="s">
        <v>442</v>
      </c>
      <c r="B5" s="10" t="s">
        <v>443</v>
      </c>
      <c r="C5" s="12" t="s">
        <v>144</v>
      </c>
      <c r="D5" s="10" t="s">
        <v>46</v>
      </c>
      <c r="E5" s="10" t="s">
        <v>265</v>
      </c>
      <c r="F5" s="12" t="s">
        <v>444</v>
      </c>
      <c r="G5" s="14" t="s">
        <v>445</v>
      </c>
      <c r="H5" s="10" t="s">
        <v>446</v>
      </c>
      <c r="I5" s="23" t="n">
        <v>5</v>
      </c>
      <c r="J5" s="24" t="str">
        <f aca="false">IF(I5="","",IF(I5&gt;=5,"P1 - now",IF(I5=4,"P2 - this month","P3 - later")))</f>
        <v>P1 - now</v>
      </c>
      <c r="K5" s="12" t="s">
        <v>447</v>
      </c>
      <c r="L5" s="12" t="s">
        <v>448</v>
      </c>
      <c r="M5" s="10" t="s">
        <v>271</v>
      </c>
      <c r="N5" s="15" t="s">
        <v>55</v>
      </c>
      <c r="O5" s="15"/>
      <c r="P5" s="16"/>
      <c r="Q5" s="12" t="s">
        <v>449</v>
      </c>
    </row>
    <row r="6" customFormat="false" ht="45.75" hidden="false" customHeight="true" outlineLevel="0" collapsed="false">
      <c r="A6" s="17" t="s">
        <v>450</v>
      </c>
      <c r="B6" s="17" t="s">
        <v>443</v>
      </c>
      <c r="C6" s="19" t="s">
        <v>451</v>
      </c>
      <c r="D6" s="17" t="s">
        <v>46</v>
      </c>
      <c r="E6" s="17" t="s">
        <v>452</v>
      </c>
      <c r="F6" s="19" t="s">
        <v>453</v>
      </c>
      <c r="G6" s="20" t="s">
        <v>454</v>
      </c>
      <c r="H6" s="17" t="s">
        <v>455</v>
      </c>
      <c r="I6" s="25" t="n">
        <v>5</v>
      </c>
      <c r="J6" s="26" t="str">
        <f aca="false">IF(I6="","",IF(I6&gt;=5,"P1 - now",IF(I6=4,"P2 - this month","P3 - later")))</f>
        <v>P1 - now</v>
      </c>
      <c r="K6" s="19" t="s">
        <v>456</v>
      </c>
      <c r="L6" s="19" t="s">
        <v>457</v>
      </c>
      <c r="M6" s="17" t="s">
        <v>271</v>
      </c>
      <c r="N6" s="15" t="s">
        <v>55</v>
      </c>
      <c r="O6" s="15"/>
      <c r="P6" s="16"/>
      <c r="Q6" s="19" t="s">
        <v>458</v>
      </c>
    </row>
    <row r="7" customFormat="false" ht="45.75" hidden="false" customHeight="true" outlineLevel="0" collapsed="false">
      <c r="A7" s="10" t="s">
        <v>459</v>
      </c>
      <c r="B7" s="10" t="s">
        <v>443</v>
      </c>
      <c r="C7" s="12" t="s">
        <v>173</v>
      </c>
      <c r="D7" s="10" t="s">
        <v>89</v>
      </c>
      <c r="E7" s="10" t="s">
        <v>265</v>
      </c>
      <c r="F7" s="12" t="s">
        <v>460</v>
      </c>
      <c r="G7" s="14" t="s">
        <v>178</v>
      </c>
      <c r="H7" s="10" t="s">
        <v>461</v>
      </c>
      <c r="I7" s="23" t="n">
        <v>5</v>
      </c>
      <c r="J7" s="24" t="str">
        <f aca="false">IF(I7="","",IF(I7&gt;=5,"P1 - now",IF(I7=4,"P2 - this month","P3 - later")))</f>
        <v>P1 - now</v>
      </c>
      <c r="K7" s="12" t="s">
        <v>462</v>
      </c>
      <c r="L7" s="12" t="s">
        <v>463</v>
      </c>
      <c r="M7" s="10" t="s">
        <v>271</v>
      </c>
      <c r="N7" s="15" t="s">
        <v>55</v>
      </c>
      <c r="O7" s="15"/>
      <c r="P7" s="16"/>
      <c r="Q7" s="12" t="s">
        <v>464</v>
      </c>
    </row>
    <row r="8" customFormat="false" ht="45.75" hidden="false" customHeight="true" outlineLevel="0" collapsed="false">
      <c r="A8" s="17" t="s">
        <v>465</v>
      </c>
      <c r="B8" s="17" t="s">
        <v>443</v>
      </c>
      <c r="C8" s="19" t="s">
        <v>179</v>
      </c>
      <c r="D8" s="17" t="s">
        <v>120</v>
      </c>
      <c r="E8" s="17" t="s">
        <v>265</v>
      </c>
      <c r="F8" s="19" t="s">
        <v>466</v>
      </c>
      <c r="G8" s="20" t="s">
        <v>182</v>
      </c>
      <c r="H8" s="17" t="s">
        <v>467</v>
      </c>
      <c r="I8" s="25" t="n">
        <v>5</v>
      </c>
      <c r="J8" s="26" t="str">
        <f aca="false">IF(I8="","",IF(I8&gt;=5,"P1 - now",IF(I8=4,"P2 - this month","P3 - later")))</f>
        <v>P1 - now</v>
      </c>
      <c r="K8" s="19" t="s">
        <v>468</v>
      </c>
      <c r="L8" s="19" t="s">
        <v>469</v>
      </c>
      <c r="M8" s="17" t="s">
        <v>271</v>
      </c>
      <c r="N8" s="15" t="s">
        <v>55</v>
      </c>
      <c r="O8" s="15"/>
      <c r="P8" s="16"/>
      <c r="Q8" s="19"/>
    </row>
    <row r="9" customFormat="false" ht="45.75" hidden="false" customHeight="true" outlineLevel="0" collapsed="false">
      <c r="A9" s="10" t="s">
        <v>470</v>
      </c>
      <c r="B9" s="10" t="s">
        <v>443</v>
      </c>
      <c r="C9" s="12" t="s">
        <v>183</v>
      </c>
      <c r="D9" s="10" t="s">
        <v>68</v>
      </c>
      <c r="E9" s="10" t="s">
        <v>265</v>
      </c>
      <c r="F9" s="12" t="s">
        <v>471</v>
      </c>
      <c r="G9" s="14" t="s">
        <v>186</v>
      </c>
      <c r="H9" s="10" t="s">
        <v>472</v>
      </c>
      <c r="I9" s="23" t="n">
        <v>5</v>
      </c>
      <c r="J9" s="24" t="str">
        <f aca="false">IF(I9="","",IF(I9&gt;=5,"P1 - now",IF(I9=4,"P2 - this month","P3 - later")))</f>
        <v>P1 - now</v>
      </c>
      <c r="K9" s="12" t="s">
        <v>473</v>
      </c>
      <c r="L9" s="12" t="s">
        <v>474</v>
      </c>
      <c r="M9" s="10" t="s">
        <v>271</v>
      </c>
      <c r="N9" s="15" t="s">
        <v>55</v>
      </c>
      <c r="O9" s="15"/>
      <c r="P9" s="16"/>
      <c r="Q9" s="12"/>
    </row>
    <row r="10" customFormat="false" ht="45.75" hidden="false" customHeight="true" outlineLevel="0" collapsed="false">
      <c r="A10" s="17" t="s">
        <v>475</v>
      </c>
      <c r="B10" s="17" t="s">
        <v>443</v>
      </c>
      <c r="C10" s="19" t="s">
        <v>168</v>
      </c>
      <c r="D10" s="17" t="s">
        <v>68</v>
      </c>
      <c r="E10" s="17" t="s">
        <v>265</v>
      </c>
      <c r="F10" s="19" t="s">
        <v>170</v>
      </c>
      <c r="G10" s="19"/>
      <c r="H10" s="17" t="s">
        <v>467</v>
      </c>
      <c r="I10" s="25" t="n">
        <v>4</v>
      </c>
      <c r="J10" s="26" t="str">
        <f aca="false">IF(I10="","",IF(I10&gt;=5,"P1 - now",IF(I10=4,"P2 - this month","P3 - later")))</f>
        <v>P2 - this month</v>
      </c>
      <c r="K10" s="19" t="s">
        <v>476</v>
      </c>
      <c r="L10" s="19" t="s">
        <v>477</v>
      </c>
      <c r="M10" s="17" t="s">
        <v>292</v>
      </c>
      <c r="N10" s="15" t="s">
        <v>55</v>
      </c>
      <c r="O10" s="15"/>
      <c r="P10" s="16"/>
      <c r="Q10" s="19" t="s">
        <v>478</v>
      </c>
    </row>
    <row r="11" customFormat="false" ht="45.75" hidden="false" customHeight="true" outlineLevel="0" collapsed="false">
      <c r="A11" s="10" t="s">
        <v>479</v>
      </c>
      <c r="B11" s="10" t="s">
        <v>443</v>
      </c>
      <c r="C11" s="12" t="s">
        <v>161</v>
      </c>
      <c r="D11" s="10" t="s">
        <v>68</v>
      </c>
      <c r="E11" s="10" t="s">
        <v>480</v>
      </c>
      <c r="F11" s="12" t="s">
        <v>481</v>
      </c>
      <c r="G11" s="14" t="s">
        <v>167</v>
      </c>
      <c r="H11" s="10" t="s">
        <v>482</v>
      </c>
      <c r="I11" s="23" t="n">
        <v>5</v>
      </c>
      <c r="J11" s="24" t="str">
        <f aca="false">IF(I11="","",IF(I11&gt;=5,"P1 - now",IF(I11=4,"P2 - this month","P3 - later")))</f>
        <v>P1 - now</v>
      </c>
      <c r="K11" s="12" t="s">
        <v>483</v>
      </c>
      <c r="L11" s="12" t="s">
        <v>484</v>
      </c>
      <c r="M11" s="10" t="s">
        <v>271</v>
      </c>
      <c r="N11" s="15" t="s">
        <v>55</v>
      </c>
      <c r="O11" s="15"/>
      <c r="P11" s="16"/>
      <c r="Q11" s="12" t="s">
        <v>485</v>
      </c>
    </row>
    <row r="12" customFormat="false" ht="45.75" hidden="false" customHeight="true" outlineLevel="0" collapsed="false">
      <c r="A12" s="17" t="s">
        <v>486</v>
      </c>
      <c r="B12" s="17" t="s">
        <v>443</v>
      </c>
      <c r="C12" s="19" t="s">
        <v>153</v>
      </c>
      <c r="D12" s="17" t="s">
        <v>46</v>
      </c>
      <c r="E12" s="17" t="s">
        <v>487</v>
      </c>
      <c r="F12" s="19" t="s">
        <v>488</v>
      </c>
      <c r="G12" s="20" t="s">
        <v>160</v>
      </c>
      <c r="H12" s="17" t="s">
        <v>489</v>
      </c>
      <c r="I12" s="25" t="n">
        <v>5</v>
      </c>
      <c r="J12" s="26" t="str">
        <f aca="false">IF(I12="","",IF(I12&gt;=5,"P1 - now",IF(I12=4,"P2 - this month","P3 - later")))</f>
        <v>P1 - now</v>
      </c>
      <c r="K12" s="19" t="s">
        <v>490</v>
      </c>
      <c r="L12" s="19" t="s">
        <v>491</v>
      </c>
      <c r="M12" s="17" t="s">
        <v>271</v>
      </c>
      <c r="N12" s="15" t="s">
        <v>55</v>
      </c>
      <c r="O12" s="15"/>
      <c r="P12" s="16"/>
      <c r="Q12" s="19" t="s">
        <v>492</v>
      </c>
    </row>
    <row r="13" customFormat="false" ht="45.75" hidden="false" customHeight="true" outlineLevel="0" collapsed="false">
      <c r="A13" s="10" t="s">
        <v>493</v>
      </c>
      <c r="B13" s="10" t="s">
        <v>443</v>
      </c>
      <c r="C13" s="12" t="s">
        <v>187</v>
      </c>
      <c r="D13" s="10" t="s">
        <v>57</v>
      </c>
      <c r="E13" s="10" t="s">
        <v>494</v>
      </c>
      <c r="F13" s="12" t="s">
        <v>190</v>
      </c>
      <c r="G13" s="12"/>
      <c r="H13" s="10" t="s">
        <v>495</v>
      </c>
      <c r="I13" s="23" t="n">
        <v>4</v>
      </c>
      <c r="J13" s="24" t="str">
        <f aca="false">IF(I13="","",IF(I13&gt;=5,"P1 - now",IF(I13=4,"P2 - this month","P3 - later")))</f>
        <v>P2 - this month</v>
      </c>
      <c r="K13" s="12" t="s">
        <v>496</v>
      </c>
      <c r="L13" s="12" t="s">
        <v>497</v>
      </c>
      <c r="M13" s="10" t="s">
        <v>292</v>
      </c>
      <c r="N13" s="15" t="s">
        <v>55</v>
      </c>
      <c r="O13" s="15"/>
      <c r="P13" s="16"/>
      <c r="Q13" s="12" t="s">
        <v>498</v>
      </c>
    </row>
    <row r="14" customFormat="false" ht="45.75" hidden="false" customHeight="true" outlineLevel="0" collapsed="false">
      <c r="A14" s="17" t="s">
        <v>499</v>
      </c>
      <c r="B14" s="17" t="s">
        <v>443</v>
      </c>
      <c r="C14" s="19" t="s">
        <v>500</v>
      </c>
      <c r="D14" s="17" t="s">
        <v>57</v>
      </c>
      <c r="E14" s="17" t="s">
        <v>501</v>
      </c>
      <c r="F14" s="19" t="s">
        <v>502</v>
      </c>
      <c r="G14" s="20" t="s">
        <v>503</v>
      </c>
      <c r="H14" s="17" t="s">
        <v>504</v>
      </c>
      <c r="I14" s="25" t="n">
        <v>4</v>
      </c>
      <c r="J14" s="26" t="str">
        <f aca="false">IF(I14="","",IF(I14&gt;=5,"P1 - now",IF(I14=4,"P2 - this month","P3 - later")))</f>
        <v>P2 - this month</v>
      </c>
      <c r="K14" s="19" t="s">
        <v>505</v>
      </c>
      <c r="L14" s="19" t="s">
        <v>506</v>
      </c>
      <c r="M14" s="17" t="s">
        <v>271</v>
      </c>
      <c r="N14" s="15" t="s">
        <v>55</v>
      </c>
      <c r="O14" s="15"/>
      <c r="P14" s="16"/>
      <c r="Q14" s="19"/>
    </row>
    <row r="15" customFormat="false" ht="45.75" hidden="false" customHeight="true" outlineLevel="0" collapsed="false">
      <c r="A15" s="10" t="s">
        <v>507</v>
      </c>
      <c r="B15" s="10" t="s">
        <v>443</v>
      </c>
      <c r="C15" s="12" t="s">
        <v>508</v>
      </c>
      <c r="D15" s="10" t="s">
        <v>57</v>
      </c>
      <c r="E15" s="10" t="s">
        <v>509</v>
      </c>
      <c r="F15" s="12" t="s">
        <v>510</v>
      </c>
      <c r="G15" s="14" t="s">
        <v>511</v>
      </c>
      <c r="H15" s="10" t="s">
        <v>512</v>
      </c>
      <c r="I15" s="23" t="n">
        <v>4</v>
      </c>
      <c r="J15" s="24" t="str">
        <f aca="false">IF(I15="","",IF(I15&gt;=5,"P1 - now",IF(I15=4,"P2 - this month","P3 - later")))</f>
        <v>P2 - this month</v>
      </c>
      <c r="K15" s="12" t="s">
        <v>513</v>
      </c>
      <c r="L15" s="12" t="s">
        <v>514</v>
      </c>
      <c r="M15" s="10" t="s">
        <v>271</v>
      </c>
      <c r="N15" s="15" t="s">
        <v>55</v>
      </c>
      <c r="O15" s="15"/>
      <c r="P15" s="16"/>
      <c r="Q15" s="12"/>
    </row>
    <row r="16" customFormat="false" ht="45.75" hidden="false" customHeight="true" outlineLevel="0" collapsed="false">
      <c r="A16" s="17" t="s">
        <v>515</v>
      </c>
      <c r="B16" s="17" t="s">
        <v>443</v>
      </c>
      <c r="C16" s="19" t="s">
        <v>516</v>
      </c>
      <c r="D16" s="17" t="s">
        <v>68</v>
      </c>
      <c r="E16" s="17" t="s">
        <v>509</v>
      </c>
      <c r="F16" s="19" t="s">
        <v>517</v>
      </c>
      <c r="G16" s="20" t="s">
        <v>518</v>
      </c>
      <c r="H16" s="17" t="s">
        <v>512</v>
      </c>
      <c r="I16" s="25" t="n">
        <v>4</v>
      </c>
      <c r="J16" s="26" t="str">
        <f aca="false">IF(I16="","",IF(I16&gt;=5,"P1 - now",IF(I16=4,"P2 - this month","P3 - later")))</f>
        <v>P2 - this month</v>
      </c>
      <c r="K16" s="19" t="s">
        <v>519</v>
      </c>
      <c r="L16" s="19" t="s">
        <v>520</v>
      </c>
      <c r="M16" s="17" t="s">
        <v>271</v>
      </c>
      <c r="N16" s="15" t="s">
        <v>55</v>
      </c>
      <c r="O16" s="15"/>
      <c r="P16" s="16"/>
      <c r="Q16" s="19"/>
    </row>
    <row r="17" customFormat="false" ht="45.75" hidden="false" customHeight="true" outlineLevel="0" collapsed="false">
      <c r="A17" s="10" t="s">
        <v>521</v>
      </c>
      <c r="B17" s="10" t="s">
        <v>443</v>
      </c>
      <c r="C17" s="12" t="s">
        <v>522</v>
      </c>
      <c r="D17" s="10" t="s">
        <v>46</v>
      </c>
      <c r="E17" s="10" t="s">
        <v>509</v>
      </c>
      <c r="F17" s="12" t="s">
        <v>523</v>
      </c>
      <c r="G17" s="14" t="s">
        <v>524</v>
      </c>
      <c r="H17" s="10" t="s">
        <v>512</v>
      </c>
      <c r="I17" s="23" t="n">
        <v>4</v>
      </c>
      <c r="J17" s="24" t="str">
        <f aca="false">IF(I17="","",IF(I17&gt;=5,"P1 - now",IF(I17=4,"P2 - this month","P3 - later")))</f>
        <v>P2 - this month</v>
      </c>
      <c r="K17" s="12" t="s">
        <v>525</v>
      </c>
      <c r="L17" s="12" t="s">
        <v>526</v>
      </c>
      <c r="M17" s="10" t="s">
        <v>271</v>
      </c>
      <c r="N17" s="15" t="s">
        <v>55</v>
      </c>
      <c r="O17" s="15"/>
      <c r="P17" s="16"/>
      <c r="Q17" s="12"/>
    </row>
    <row r="18" customFormat="false" ht="45.75" hidden="false" customHeight="true" outlineLevel="0" collapsed="false">
      <c r="A18" s="17" t="s">
        <v>527</v>
      </c>
      <c r="B18" s="17" t="s">
        <v>443</v>
      </c>
      <c r="C18" s="19" t="s">
        <v>528</v>
      </c>
      <c r="D18" s="17" t="s">
        <v>227</v>
      </c>
      <c r="E18" s="17" t="s">
        <v>265</v>
      </c>
      <c r="F18" s="19" t="s">
        <v>529</v>
      </c>
      <c r="G18" s="20" t="s">
        <v>530</v>
      </c>
      <c r="H18" s="17" t="s">
        <v>531</v>
      </c>
      <c r="I18" s="25" t="n">
        <v>4</v>
      </c>
      <c r="J18" s="26" t="str">
        <f aca="false">IF(I18="","",IF(I18&gt;=5,"P1 - now",IF(I18=4,"P2 - this month","P3 - later")))</f>
        <v>P2 - this month</v>
      </c>
      <c r="K18" s="19" t="s">
        <v>532</v>
      </c>
      <c r="L18" s="19" t="s">
        <v>533</v>
      </c>
      <c r="M18" s="17" t="s">
        <v>271</v>
      </c>
      <c r="N18" s="15" t="s">
        <v>55</v>
      </c>
      <c r="O18" s="15"/>
      <c r="P18" s="16"/>
      <c r="Q18" s="19"/>
    </row>
    <row r="19" customFormat="false" ht="45.75" hidden="false" customHeight="true" outlineLevel="0" collapsed="false">
      <c r="A19" s="10" t="s">
        <v>534</v>
      </c>
      <c r="B19" s="10" t="s">
        <v>443</v>
      </c>
      <c r="C19" s="12" t="s">
        <v>535</v>
      </c>
      <c r="D19" s="10" t="s">
        <v>227</v>
      </c>
      <c r="E19" s="10" t="s">
        <v>265</v>
      </c>
      <c r="F19" s="12" t="s">
        <v>536</v>
      </c>
      <c r="G19" s="14" t="s">
        <v>233</v>
      </c>
      <c r="H19" s="10" t="s">
        <v>537</v>
      </c>
      <c r="I19" s="23" t="n">
        <v>5</v>
      </c>
      <c r="J19" s="24" t="str">
        <f aca="false">IF(I19="","",IF(I19&gt;=5,"P1 - now",IF(I19=4,"P2 - this month","P3 - later")))</f>
        <v>P1 - now</v>
      </c>
      <c r="K19" s="12" t="s">
        <v>538</v>
      </c>
      <c r="L19" s="12" t="s">
        <v>539</v>
      </c>
      <c r="M19" s="10" t="s">
        <v>271</v>
      </c>
      <c r="N19" s="15" t="s">
        <v>55</v>
      </c>
      <c r="O19" s="15"/>
      <c r="P19" s="16"/>
      <c r="Q19" s="12" t="s">
        <v>540</v>
      </c>
    </row>
    <row r="20" customFormat="false" ht="45.75" hidden="false" customHeight="true" outlineLevel="0" collapsed="false">
      <c r="A20" s="17" t="s">
        <v>541</v>
      </c>
      <c r="B20" s="17" t="s">
        <v>443</v>
      </c>
      <c r="C20" s="19" t="s">
        <v>542</v>
      </c>
      <c r="D20" s="17" t="s">
        <v>543</v>
      </c>
      <c r="E20" s="17" t="s">
        <v>265</v>
      </c>
      <c r="F20" s="19" t="s">
        <v>544</v>
      </c>
      <c r="G20" s="19"/>
      <c r="H20" s="17" t="s">
        <v>545</v>
      </c>
      <c r="I20" s="25" t="n">
        <v>4</v>
      </c>
      <c r="J20" s="26" t="str">
        <f aca="false">IF(I20="","",IF(I20&gt;=5,"P1 - now",IF(I20=4,"P2 - this month","P3 - later")))</f>
        <v>P2 - this month</v>
      </c>
      <c r="K20" s="19" t="s">
        <v>546</v>
      </c>
      <c r="L20" s="19" t="s">
        <v>547</v>
      </c>
      <c r="M20" s="17" t="s">
        <v>292</v>
      </c>
      <c r="N20" s="15" t="s">
        <v>55</v>
      </c>
      <c r="O20" s="15"/>
      <c r="P20" s="16"/>
      <c r="Q20" s="19" t="s">
        <v>548</v>
      </c>
    </row>
    <row r="21" customFormat="false" ht="45.75" hidden="false" customHeight="true" outlineLevel="0" collapsed="false">
      <c r="A21" s="10" t="s">
        <v>549</v>
      </c>
      <c r="B21" s="10" t="s">
        <v>443</v>
      </c>
      <c r="C21" s="12" t="s">
        <v>550</v>
      </c>
      <c r="D21" s="10" t="s">
        <v>543</v>
      </c>
      <c r="E21" s="10" t="s">
        <v>436</v>
      </c>
      <c r="F21" s="12" t="s">
        <v>551</v>
      </c>
      <c r="G21" s="12"/>
      <c r="H21" s="10" t="s">
        <v>552</v>
      </c>
      <c r="I21" s="23" t="n">
        <v>4</v>
      </c>
      <c r="J21" s="24" t="str">
        <f aca="false">IF(I21="","",IF(I21&gt;=5,"P1 - now",IF(I21=4,"P2 - this month","P3 - later")))</f>
        <v>P2 - this month</v>
      </c>
      <c r="K21" s="12" t="s">
        <v>553</v>
      </c>
      <c r="L21" s="12" t="s">
        <v>554</v>
      </c>
      <c r="M21" s="10" t="s">
        <v>292</v>
      </c>
      <c r="N21" s="15" t="s">
        <v>55</v>
      </c>
      <c r="O21" s="15"/>
      <c r="P21" s="16"/>
      <c r="Q21" s="12"/>
    </row>
    <row r="22" customFormat="false" ht="45.75" hidden="false" customHeight="true" outlineLevel="0" collapsed="false">
      <c r="A22" s="17" t="s">
        <v>555</v>
      </c>
      <c r="B22" s="17" t="s">
        <v>443</v>
      </c>
      <c r="C22" s="19" t="s">
        <v>556</v>
      </c>
      <c r="D22" s="17" t="s">
        <v>543</v>
      </c>
      <c r="E22" s="17" t="s">
        <v>557</v>
      </c>
      <c r="F22" s="19" t="s">
        <v>558</v>
      </c>
      <c r="G22" s="20" t="s">
        <v>559</v>
      </c>
      <c r="H22" s="17" t="s">
        <v>560</v>
      </c>
      <c r="I22" s="25" t="n">
        <v>4</v>
      </c>
      <c r="J22" s="26" t="str">
        <f aca="false">IF(I22="","",IF(I22&gt;=5,"P1 - now",IF(I22=4,"P2 - this month","P3 - later")))</f>
        <v>P2 - this month</v>
      </c>
      <c r="K22" s="19" t="s">
        <v>561</v>
      </c>
      <c r="L22" s="19" t="s">
        <v>562</v>
      </c>
      <c r="M22" s="17" t="s">
        <v>271</v>
      </c>
      <c r="N22" s="15" t="s">
        <v>55</v>
      </c>
      <c r="O22" s="15"/>
      <c r="P22" s="16"/>
      <c r="Q22" s="19" t="s">
        <v>563</v>
      </c>
    </row>
    <row r="23" customFormat="false" ht="45.75" hidden="false" customHeight="true" outlineLevel="0" collapsed="false">
      <c r="A23" s="10" t="s">
        <v>564</v>
      </c>
      <c r="B23" s="10" t="s">
        <v>443</v>
      </c>
      <c r="C23" s="12" t="s">
        <v>565</v>
      </c>
      <c r="D23" s="10" t="s">
        <v>227</v>
      </c>
      <c r="E23" s="10" t="s">
        <v>566</v>
      </c>
      <c r="F23" s="12" t="s">
        <v>567</v>
      </c>
      <c r="G23" s="14" t="s">
        <v>568</v>
      </c>
      <c r="H23" s="10" t="s">
        <v>569</v>
      </c>
      <c r="I23" s="23" t="n">
        <v>3</v>
      </c>
      <c r="J23" s="24" t="str">
        <f aca="false">IF(I23="","",IF(I23&gt;=5,"P1 - now",IF(I23=4,"P2 - this month","P3 - later")))</f>
        <v>P3 - later</v>
      </c>
      <c r="K23" s="12" t="s">
        <v>570</v>
      </c>
      <c r="L23" s="12" t="s">
        <v>571</v>
      </c>
      <c r="M23" s="10" t="s">
        <v>271</v>
      </c>
      <c r="N23" s="15" t="s">
        <v>55</v>
      </c>
      <c r="O23" s="15"/>
      <c r="P23" s="16"/>
      <c r="Q23" s="12" t="s">
        <v>572</v>
      </c>
    </row>
    <row r="25" customFormat="false" ht="15" hidden="false" customHeight="true" outlineLevel="0" collapsed="false">
      <c r="A25" s="3" t="s">
        <v>340</v>
      </c>
    </row>
  </sheetData>
  <autoFilter ref="A4:Q23"/>
  <dataValidations count="2">
    <dataValidation allowBlank="true" errorStyle="stop" operator="between" showDropDown="false" showErrorMessage="false" showInputMessage="false" sqref="N5:N23" type="list">
      <formula1>"Not started,Researching,Contacted,In conversation,Won,Passed"</formula1>
      <formula2>0</formula2>
    </dataValidation>
    <dataValidation allowBlank="true" errorStyle="stop" operator="between" showDropDown="false" showErrorMessage="false" showInputMessage="false" sqref="I5:I23" type="list">
      <formula1>"1,2,3,4,5"</formula1>
      <formula2>0</formula2>
    </dataValidation>
  </dataValidations>
  <hyperlinks>
    <hyperlink ref="G5" r:id="rId1" display="https://www.instagram.com/cubbonreads/"/>
    <hyperlink ref="G6" r:id="rId2" display="https://www.instagram.com/cubbonbookclub/"/>
    <hyperlink ref="G7" r:id="rId3" display="https://www.instagram.com/pune.reads/"/>
    <hyperlink ref="G8" r:id="rId4" display="https://www.instagram.com/hyderabadreads/"/>
    <hyperlink ref="G9" r:id="rId5" display="https://www.instagram.com/bandrareads/"/>
    <hyperlink ref="G11" r:id="rId6" display="https://www.instagram.com/brokebombay/"/>
    <hyperlink ref="G12" r:id="rId7" display="https://x.com/BibliophilesBlr"/>
    <hyperlink ref="G14" r:id="rId8" display="https://x.com/Babelfish_reads"/>
    <hyperlink ref="G15" r:id="rId9" display="https://www.meetup.com/dbl-join/"/>
    <hyperlink ref="G16" r:id="rId10" display="https://www.meetup.com/book-reading-club/"/>
    <hyperlink ref="G17" r:id="rId11" display="https://www.meetup.com/bangalore-book-reading-tea-club/"/>
    <hyperlink ref="G18" r:id="rId12" display="https://www.instagram.com/karunaskitaabclub/"/>
    <hyperlink ref="G19" r:id="rId13" display="https://www.instagram.com/indiareadwithus/"/>
    <hyperlink ref="G22" r:id="rId14" display="https://silentbook.club/"/>
    <hyperlink ref="G23" r:id="rId15" display="https://www.goodreads.com/group/show_tag/book-exchang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6"/>
    <col collapsed="false" customWidth="true" hidden="false" outlineLevel="0" max="3" min="3" style="1" width="30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26"/>
    <col collapsed="false" customWidth="true" hidden="false" outlineLevel="0" max="7" min="7" style="1" width="42"/>
    <col collapsed="false" customWidth="true" hidden="false" outlineLevel="0" max="8" min="8" style="1" width="14"/>
    <col collapsed="false" customWidth="true" hidden="false" outlineLevel="0" max="9" min="9" style="1" width="8"/>
    <col collapsed="false" customWidth="true" hidden="false" outlineLevel="0" max="10" min="10" style="1" width="10"/>
    <col collapsed="false" customWidth="true" hidden="false" outlineLevel="0" max="12" min="11" style="1" width="46"/>
    <col collapsed="false" customWidth="true" hidden="false" outlineLevel="0" max="13" min="13" style="1" width="12"/>
    <col collapsed="false" customWidth="true" hidden="false" outlineLevel="0" max="14" min="14" style="1" width="14"/>
    <col collapsed="false" customWidth="true" hidden="false" outlineLevel="0" max="15" min="15" style="1" width="12"/>
    <col collapsed="false" customWidth="true" hidden="false" outlineLevel="0" max="16" min="16" style="1" width="16"/>
    <col collapsed="false" customWidth="true" hidden="false" outlineLevel="0" max="17" min="17" style="1" width="30"/>
  </cols>
  <sheetData>
    <row r="1" customFormat="false" ht="17.25" hidden="false" customHeight="true" outlineLevel="0" collapsed="false">
      <c r="A1" s="22" t="s">
        <v>573</v>
      </c>
    </row>
    <row r="2" customFormat="false" ht="15" hidden="false" customHeight="true" outlineLevel="0" collapsed="false">
      <c r="A2" s="3" t="s">
        <v>574</v>
      </c>
    </row>
    <row r="4" customFormat="false" ht="30" hidden="false" customHeight="true" outlineLevel="0" collapsed="false">
      <c r="A4" s="9" t="s">
        <v>247</v>
      </c>
      <c r="B4" s="9" t="s">
        <v>248</v>
      </c>
      <c r="C4" s="9" t="s">
        <v>249</v>
      </c>
      <c r="D4" s="9" t="s">
        <v>250</v>
      </c>
      <c r="E4" s="9" t="s">
        <v>251</v>
      </c>
      <c r="F4" s="9" t="s">
        <v>252</v>
      </c>
      <c r="G4" s="9" t="s">
        <v>253</v>
      </c>
      <c r="H4" s="9" t="s">
        <v>254</v>
      </c>
      <c r="I4" s="9" t="s">
        <v>255</v>
      </c>
      <c r="J4" s="9" t="s">
        <v>256</v>
      </c>
      <c r="K4" s="9" t="s">
        <v>257</v>
      </c>
      <c r="L4" s="9" t="s">
        <v>258</v>
      </c>
      <c r="M4" s="9" t="s">
        <v>259</v>
      </c>
      <c r="N4" s="9" t="s">
        <v>43</v>
      </c>
      <c r="O4" s="9" t="s">
        <v>101</v>
      </c>
      <c r="P4" s="9" t="s">
        <v>260</v>
      </c>
      <c r="Q4" s="9" t="s">
        <v>261</v>
      </c>
    </row>
    <row r="5" customFormat="false" ht="45.75" hidden="false" customHeight="true" outlineLevel="0" collapsed="false">
      <c r="A5" s="10" t="s">
        <v>575</v>
      </c>
      <c r="B5" s="10" t="s">
        <v>576</v>
      </c>
      <c r="C5" s="12" t="s">
        <v>577</v>
      </c>
      <c r="D5" s="10" t="s">
        <v>68</v>
      </c>
      <c r="E5" s="10" t="s">
        <v>578</v>
      </c>
      <c r="F5" s="12" t="s">
        <v>579</v>
      </c>
      <c r="G5" s="14" t="s">
        <v>580</v>
      </c>
      <c r="H5" s="10" t="s">
        <v>581</v>
      </c>
      <c r="I5" s="23" t="n">
        <v>5</v>
      </c>
      <c r="J5" s="24" t="str">
        <f aca="false">IF(I5="","",IF(I5&gt;=5,"P1 - now",IF(I5=4,"P2 - this month","P3 - later")))</f>
        <v>P1 - now</v>
      </c>
      <c r="K5" s="12" t="s">
        <v>582</v>
      </c>
      <c r="L5" s="12" t="s">
        <v>583</v>
      </c>
      <c r="M5" s="10" t="s">
        <v>271</v>
      </c>
      <c r="N5" s="15" t="s">
        <v>55</v>
      </c>
      <c r="O5" s="15"/>
      <c r="P5" s="16"/>
      <c r="Q5" s="12" t="s">
        <v>584</v>
      </c>
    </row>
    <row r="6" customFormat="false" ht="45.75" hidden="false" customHeight="true" outlineLevel="0" collapsed="false">
      <c r="A6" s="17" t="s">
        <v>585</v>
      </c>
      <c r="B6" s="17" t="s">
        <v>576</v>
      </c>
      <c r="C6" s="19" t="s">
        <v>586</v>
      </c>
      <c r="D6" s="17" t="s">
        <v>68</v>
      </c>
      <c r="E6" s="17" t="s">
        <v>265</v>
      </c>
      <c r="F6" s="19" t="s">
        <v>587</v>
      </c>
      <c r="G6" s="20" t="s">
        <v>143</v>
      </c>
      <c r="H6" s="17" t="s">
        <v>588</v>
      </c>
      <c r="I6" s="25" t="n">
        <v>5</v>
      </c>
      <c r="J6" s="26" t="str">
        <f aca="false">IF(I6="","",IF(I6&gt;=5,"P1 - now",IF(I6=4,"P2 - this month","P3 - later")))</f>
        <v>P1 - now</v>
      </c>
      <c r="K6" s="19" t="s">
        <v>589</v>
      </c>
      <c r="L6" s="19" t="s">
        <v>590</v>
      </c>
      <c r="M6" s="17" t="s">
        <v>271</v>
      </c>
      <c r="N6" s="15" t="s">
        <v>55</v>
      </c>
      <c r="O6" s="15"/>
      <c r="P6" s="16"/>
      <c r="Q6" s="19"/>
    </row>
    <row r="7" customFormat="false" ht="45.75" hidden="false" customHeight="true" outlineLevel="0" collapsed="false">
      <c r="A7" s="10" t="s">
        <v>591</v>
      </c>
      <c r="B7" s="10" t="s">
        <v>576</v>
      </c>
      <c r="C7" s="12" t="s">
        <v>45</v>
      </c>
      <c r="D7" s="10" t="s">
        <v>46</v>
      </c>
      <c r="E7" s="10" t="s">
        <v>592</v>
      </c>
      <c r="F7" s="12" t="s">
        <v>593</v>
      </c>
      <c r="G7" s="14" t="s">
        <v>594</v>
      </c>
      <c r="H7" s="10" t="s">
        <v>595</v>
      </c>
      <c r="I7" s="23" t="n">
        <v>5</v>
      </c>
      <c r="J7" s="24" t="str">
        <f aca="false">IF(I7="","",IF(I7&gt;=5,"P1 - now",IF(I7=4,"P2 - this month","P3 - later")))</f>
        <v>P1 - now</v>
      </c>
      <c r="K7" s="12" t="s">
        <v>596</v>
      </c>
      <c r="L7" s="12" t="s">
        <v>597</v>
      </c>
      <c r="M7" s="10" t="s">
        <v>271</v>
      </c>
      <c r="N7" s="15" t="s">
        <v>55</v>
      </c>
      <c r="O7" s="15"/>
      <c r="P7" s="16"/>
      <c r="Q7" s="12" t="s">
        <v>598</v>
      </c>
    </row>
    <row r="8" customFormat="false" ht="45.75" hidden="false" customHeight="true" outlineLevel="0" collapsed="false">
      <c r="A8" s="17" t="s">
        <v>599</v>
      </c>
      <c r="B8" s="17" t="s">
        <v>576</v>
      </c>
      <c r="C8" s="19" t="s">
        <v>600</v>
      </c>
      <c r="D8" s="17" t="s">
        <v>46</v>
      </c>
      <c r="E8" s="17" t="s">
        <v>601</v>
      </c>
      <c r="F8" s="19" t="s">
        <v>602</v>
      </c>
      <c r="G8" s="19"/>
      <c r="H8" s="17" t="s">
        <v>603</v>
      </c>
      <c r="I8" s="25" t="n">
        <v>5</v>
      </c>
      <c r="J8" s="26" t="str">
        <f aca="false">IF(I8="","",IF(I8&gt;=5,"P1 - now",IF(I8=4,"P2 - this month","P3 - later")))</f>
        <v>P1 - now</v>
      </c>
      <c r="K8" s="19" t="s">
        <v>604</v>
      </c>
      <c r="L8" s="19" t="s">
        <v>605</v>
      </c>
      <c r="M8" s="17" t="s">
        <v>606</v>
      </c>
      <c r="N8" s="15" t="s">
        <v>55</v>
      </c>
      <c r="O8" s="15"/>
      <c r="P8" s="16"/>
      <c r="Q8" s="19" t="s">
        <v>607</v>
      </c>
    </row>
    <row r="9" customFormat="false" ht="45.75" hidden="false" customHeight="true" outlineLevel="0" collapsed="false">
      <c r="A9" s="10" t="s">
        <v>608</v>
      </c>
      <c r="B9" s="10" t="s">
        <v>576</v>
      </c>
      <c r="C9" s="12" t="s">
        <v>609</v>
      </c>
      <c r="D9" s="10" t="s">
        <v>46</v>
      </c>
      <c r="E9" s="10" t="s">
        <v>601</v>
      </c>
      <c r="F9" s="12" t="s">
        <v>610</v>
      </c>
      <c r="G9" s="12"/>
      <c r="H9" s="10" t="s">
        <v>611</v>
      </c>
      <c r="I9" s="23" t="n">
        <v>4</v>
      </c>
      <c r="J9" s="24" t="str">
        <f aca="false">IF(I9="","",IF(I9&gt;=5,"P1 - now",IF(I9=4,"P2 - this month","P3 - later")))</f>
        <v>P2 - this month</v>
      </c>
      <c r="K9" s="12" t="s">
        <v>612</v>
      </c>
      <c r="L9" s="12" t="s">
        <v>613</v>
      </c>
      <c r="M9" s="10" t="s">
        <v>606</v>
      </c>
      <c r="N9" s="15" t="s">
        <v>55</v>
      </c>
      <c r="O9" s="15"/>
      <c r="P9" s="16"/>
      <c r="Q9" s="12"/>
    </row>
    <row r="10" customFormat="false" ht="45.75" hidden="false" customHeight="true" outlineLevel="0" collapsed="false">
      <c r="A10" s="17" t="s">
        <v>614</v>
      </c>
      <c r="B10" s="17" t="s">
        <v>576</v>
      </c>
      <c r="C10" s="19" t="s">
        <v>615</v>
      </c>
      <c r="D10" s="17" t="s">
        <v>57</v>
      </c>
      <c r="E10" s="17" t="s">
        <v>616</v>
      </c>
      <c r="F10" s="19" t="s">
        <v>617</v>
      </c>
      <c r="G10" s="20" t="s">
        <v>618</v>
      </c>
      <c r="H10" s="17" t="s">
        <v>619</v>
      </c>
      <c r="I10" s="25" t="n">
        <v>4</v>
      </c>
      <c r="J10" s="26" t="str">
        <f aca="false">IF(I10="","",IF(I10&gt;=5,"P1 - now",IF(I10=4,"P2 - this month","P3 - later")))</f>
        <v>P2 - this month</v>
      </c>
      <c r="K10" s="19" t="s">
        <v>620</v>
      </c>
      <c r="L10" s="19" t="s">
        <v>621</v>
      </c>
      <c r="M10" s="17" t="s">
        <v>271</v>
      </c>
      <c r="N10" s="15" t="s">
        <v>55</v>
      </c>
      <c r="O10" s="15"/>
      <c r="P10" s="16"/>
      <c r="Q10" s="19" t="s">
        <v>622</v>
      </c>
    </row>
    <row r="11" customFormat="false" ht="45.75" hidden="false" customHeight="true" outlineLevel="0" collapsed="false">
      <c r="A11" s="10" t="s">
        <v>623</v>
      </c>
      <c r="B11" s="10" t="s">
        <v>576</v>
      </c>
      <c r="C11" s="12" t="s">
        <v>624</v>
      </c>
      <c r="D11" s="10" t="s">
        <v>57</v>
      </c>
      <c r="E11" s="10" t="s">
        <v>601</v>
      </c>
      <c r="F11" s="12" t="s">
        <v>625</v>
      </c>
      <c r="G11" s="12"/>
      <c r="H11" s="10" t="s">
        <v>626</v>
      </c>
      <c r="I11" s="23" t="n">
        <v>4</v>
      </c>
      <c r="J11" s="24" t="str">
        <f aca="false">IF(I11="","",IF(I11&gt;=5,"P1 - now",IF(I11=4,"P2 - this month","P3 - later")))</f>
        <v>P2 - this month</v>
      </c>
      <c r="K11" s="12" t="s">
        <v>627</v>
      </c>
      <c r="L11" s="12" t="s">
        <v>628</v>
      </c>
      <c r="M11" s="10" t="s">
        <v>271</v>
      </c>
      <c r="N11" s="15" t="s">
        <v>55</v>
      </c>
      <c r="O11" s="15"/>
      <c r="P11" s="16"/>
      <c r="Q11" s="12"/>
    </row>
    <row r="12" customFormat="false" ht="45.75" hidden="false" customHeight="true" outlineLevel="0" collapsed="false">
      <c r="A12" s="17" t="s">
        <v>629</v>
      </c>
      <c r="B12" s="17" t="s">
        <v>576</v>
      </c>
      <c r="C12" s="19" t="s">
        <v>630</v>
      </c>
      <c r="D12" s="17" t="s">
        <v>57</v>
      </c>
      <c r="E12" s="17" t="s">
        <v>631</v>
      </c>
      <c r="F12" s="19" t="s">
        <v>632</v>
      </c>
      <c r="G12" s="19"/>
      <c r="H12" s="17" t="s">
        <v>633</v>
      </c>
      <c r="I12" s="25" t="n">
        <v>5</v>
      </c>
      <c r="J12" s="26" t="str">
        <f aca="false">IF(I12="","",IF(I12&gt;=5,"P1 - now",IF(I12=4,"P2 - this month","P3 - later")))</f>
        <v>P1 - now</v>
      </c>
      <c r="K12" s="19" t="s">
        <v>634</v>
      </c>
      <c r="L12" s="19" t="s">
        <v>635</v>
      </c>
      <c r="M12" s="17" t="s">
        <v>271</v>
      </c>
      <c r="N12" s="15" t="s">
        <v>55</v>
      </c>
      <c r="O12" s="15"/>
      <c r="P12" s="16"/>
      <c r="Q12" s="19" t="s">
        <v>636</v>
      </c>
    </row>
    <row r="13" customFormat="false" ht="45.75" hidden="false" customHeight="true" outlineLevel="0" collapsed="false">
      <c r="A13" s="10" t="s">
        <v>637</v>
      </c>
      <c r="B13" s="10" t="s">
        <v>576</v>
      </c>
      <c r="C13" s="12" t="s">
        <v>638</v>
      </c>
      <c r="D13" s="10" t="s">
        <v>57</v>
      </c>
      <c r="E13" s="10" t="s">
        <v>631</v>
      </c>
      <c r="F13" s="12" t="s">
        <v>639</v>
      </c>
      <c r="G13" s="12"/>
      <c r="H13" s="10" t="s">
        <v>640</v>
      </c>
      <c r="I13" s="23" t="n">
        <v>4</v>
      </c>
      <c r="J13" s="24" t="str">
        <f aca="false">IF(I13="","",IF(I13&gt;=5,"P1 - now",IF(I13=4,"P2 - this month","P3 - later")))</f>
        <v>P2 - this month</v>
      </c>
      <c r="K13" s="12" t="s">
        <v>641</v>
      </c>
      <c r="L13" s="12" t="s">
        <v>642</v>
      </c>
      <c r="M13" s="10" t="s">
        <v>271</v>
      </c>
      <c r="N13" s="15" t="s">
        <v>55</v>
      </c>
      <c r="O13" s="15"/>
      <c r="P13" s="16"/>
      <c r="Q13" s="12"/>
    </row>
    <row r="14" customFormat="false" ht="45.75" hidden="false" customHeight="true" outlineLevel="0" collapsed="false">
      <c r="A14" s="17" t="s">
        <v>643</v>
      </c>
      <c r="B14" s="17" t="s">
        <v>576</v>
      </c>
      <c r="C14" s="19" t="s">
        <v>644</v>
      </c>
      <c r="D14" s="17" t="s">
        <v>57</v>
      </c>
      <c r="E14" s="17" t="s">
        <v>645</v>
      </c>
      <c r="F14" s="19" t="s">
        <v>646</v>
      </c>
      <c r="G14" s="19"/>
      <c r="H14" s="17" t="s">
        <v>647</v>
      </c>
      <c r="I14" s="25" t="n">
        <v>4</v>
      </c>
      <c r="J14" s="26" t="str">
        <f aca="false">IF(I14="","",IF(I14&gt;=5,"P1 - now",IF(I14=4,"P2 - this month","P3 - later")))</f>
        <v>P2 - this month</v>
      </c>
      <c r="K14" s="19" t="s">
        <v>648</v>
      </c>
      <c r="L14" s="19" t="s">
        <v>649</v>
      </c>
      <c r="M14" s="17" t="s">
        <v>271</v>
      </c>
      <c r="N14" s="15" t="s">
        <v>55</v>
      </c>
      <c r="O14" s="15"/>
      <c r="P14" s="16"/>
      <c r="Q14" s="19" t="s">
        <v>650</v>
      </c>
    </row>
    <row r="15" customFormat="false" ht="45.75" hidden="false" customHeight="true" outlineLevel="0" collapsed="false">
      <c r="A15" s="10" t="s">
        <v>651</v>
      </c>
      <c r="B15" s="10" t="s">
        <v>576</v>
      </c>
      <c r="C15" s="12" t="s">
        <v>652</v>
      </c>
      <c r="D15" s="10" t="s">
        <v>57</v>
      </c>
      <c r="E15" s="10" t="s">
        <v>653</v>
      </c>
      <c r="F15" s="12" t="s">
        <v>654</v>
      </c>
      <c r="G15" s="12"/>
      <c r="H15" s="10" t="s">
        <v>655</v>
      </c>
      <c r="I15" s="23" t="n">
        <v>4</v>
      </c>
      <c r="J15" s="24" t="str">
        <f aca="false">IF(I15="","",IF(I15&gt;=5,"P1 - now",IF(I15=4,"P2 - this month","P3 - later")))</f>
        <v>P2 - this month</v>
      </c>
      <c r="K15" s="12" t="s">
        <v>656</v>
      </c>
      <c r="L15" s="12" t="s">
        <v>657</v>
      </c>
      <c r="M15" s="10" t="s">
        <v>271</v>
      </c>
      <c r="N15" s="15" t="s">
        <v>55</v>
      </c>
      <c r="O15" s="15"/>
      <c r="P15" s="16"/>
      <c r="Q15" s="12" t="s">
        <v>658</v>
      </c>
    </row>
    <row r="16" customFormat="false" ht="45.75" hidden="false" customHeight="true" outlineLevel="0" collapsed="false">
      <c r="A16" s="17" t="s">
        <v>659</v>
      </c>
      <c r="B16" s="17" t="s">
        <v>576</v>
      </c>
      <c r="C16" s="19" t="s">
        <v>660</v>
      </c>
      <c r="D16" s="17" t="s">
        <v>57</v>
      </c>
      <c r="E16" s="17" t="s">
        <v>645</v>
      </c>
      <c r="F16" s="19" t="s">
        <v>661</v>
      </c>
      <c r="G16" s="19"/>
      <c r="H16" s="17" t="s">
        <v>662</v>
      </c>
      <c r="I16" s="25" t="n">
        <v>3</v>
      </c>
      <c r="J16" s="26" t="str">
        <f aca="false">IF(I16="","",IF(I16&gt;=5,"P1 - now",IF(I16=4,"P2 - this month","P3 - later")))</f>
        <v>P3 - later</v>
      </c>
      <c r="K16" s="19" t="s">
        <v>663</v>
      </c>
      <c r="L16" s="19" t="s">
        <v>664</v>
      </c>
      <c r="M16" s="17" t="s">
        <v>271</v>
      </c>
      <c r="N16" s="15" t="s">
        <v>55</v>
      </c>
      <c r="O16" s="15"/>
      <c r="P16" s="16"/>
      <c r="Q16" s="19"/>
    </row>
    <row r="17" customFormat="false" ht="45.75" hidden="false" customHeight="true" outlineLevel="0" collapsed="false">
      <c r="A17" s="10" t="s">
        <v>665</v>
      </c>
      <c r="B17" s="10" t="s">
        <v>576</v>
      </c>
      <c r="C17" s="12" t="s">
        <v>119</v>
      </c>
      <c r="D17" s="10" t="s">
        <v>120</v>
      </c>
      <c r="E17" s="10" t="s">
        <v>666</v>
      </c>
      <c r="F17" s="12" t="s">
        <v>667</v>
      </c>
      <c r="G17" s="12"/>
      <c r="H17" s="10" t="s">
        <v>668</v>
      </c>
      <c r="I17" s="23" t="n">
        <v>4</v>
      </c>
      <c r="J17" s="24" t="str">
        <f aca="false">IF(I17="","",IF(I17&gt;=5,"P1 - now",IF(I17=4,"P2 - this month","P3 - later")))</f>
        <v>P2 - this month</v>
      </c>
      <c r="K17" s="12" t="s">
        <v>669</v>
      </c>
      <c r="L17" s="12" t="s">
        <v>670</v>
      </c>
      <c r="M17" s="10" t="s">
        <v>271</v>
      </c>
      <c r="N17" s="15" t="s">
        <v>55</v>
      </c>
      <c r="O17" s="15"/>
      <c r="P17" s="16"/>
      <c r="Q17" s="12"/>
    </row>
    <row r="18" customFormat="false" ht="45.75" hidden="false" customHeight="true" outlineLevel="0" collapsed="false">
      <c r="A18" s="17" t="s">
        <v>671</v>
      </c>
      <c r="B18" s="17" t="s">
        <v>576</v>
      </c>
      <c r="C18" s="19" t="s">
        <v>672</v>
      </c>
      <c r="D18" s="17" t="s">
        <v>120</v>
      </c>
      <c r="E18" s="17" t="s">
        <v>666</v>
      </c>
      <c r="F18" s="19" t="s">
        <v>673</v>
      </c>
      <c r="G18" s="19"/>
      <c r="H18" s="17" t="s">
        <v>674</v>
      </c>
      <c r="I18" s="25" t="n">
        <v>4</v>
      </c>
      <c r="J18" s="26" t="str">
        <f aca="false">IF(I18="","",IF(I18&gt;=5,"P1 - now",IF(I18=4,"P2 - this month","P3 - later")))</f>
        <v>P2 - this month</v>
      </c>
      <c r="K18" s="19" t="s">
        <v>675</v>
      </c>
      <c r="L18" s="19" t="s">
        <v>676</v>
      </c>
      <c r="M18" s="17" t="s">
        <v>271</v>
      </c>
      <c r="N18" s="15" t="s">
        <v>55</v>
      </c>
      <c r="O18" s="15"/>
      <c r="P18" s="16"/>
      <c r="Q18" s="19"/>
    </row>
    <row r="19" customFormat="false" ht="45.75" hidden="false" customHeight="true" outlineLevel="0" collapsed="false">
      <c r="A19" s="10" t="s">
        <v>677</v>
      </c>
      <c r="B19" s="10" t="s">
        <v>576</v>
      </c>
      <c r="C19" s="12" t="s">
        <v>678</v>
      </c>
      <c r="D19" s="10" t="s">
        <v>89</v>
      </c>
      <c r="E19" s="10" t="s">
        <v>679</v>
      </c>
      <c r="F19" s="12" t="s">
        <v>680</v>
      </c>
      <c r="G19" s="12"/>
      <c r="H19" s="10" t="s">
        <v>95</v>
      </c>
      <c r="I19" s="23" t="n">
        <v>5</v>
      </c>
      <c r="J19" s="24" t="str">
        <f aca="false">IF(I19="","",IF(I19&gt;=5,"P1 - now",IF(I19=4,"P2 - this month","P3 - later")))</f>
        <v>P1 - now</v>
      </c>
      <c r="K19" s="12" t="s">
        <v>681</v>
      </c>
      <c r="L19" s="12" t="s">
        <v>682</v>
      </c>
      <c r="M19" s="10" t="s">
        <v>606</v>
      </c>
      <c r="N19" s="15" t="s">
        <v>55</v>
      </c>
      <c r="O19" s="15"/>
      <c r="P19" s="16"/>
      <c r="Q19" s="12" t="s">
        <v>683</v>
      </c>
    </row>
    <row r="20" customFormat="false" ht="45.75" hidden="false" customHeight="true" outlineLevel="0" collapsed="false">
      <c r="A20" s="17" t="s">
        <v>684</v>
      </c>
      <c r="B20" s="17" t="s">
        <v>576</v>
      </c>
      <c r="C20" s="19" t="s">
        <v>78</v>
      </c>
      <c r="D20" s="17" t="s">
        <v>46</v>
      </c>
      <c r="E20" s="17" t="s">
        <v>685</v>
      </c>
      <c r="F20" s="19" t="s">
        <v>686</v>
      </c>
      <c r="G20" s="20" t="s">
        <v>87</v>
      </c>
      <c r="H20" s="17" t="s">
        <v>687</v>
      </c>
      <c r="I20" s="25" t="n">
        <v>5</v>
      </c>
      <c r="J20" s="26" t="str">
        <f aca="false">IF(I20="","",IF(I20&gt;=5,"P1 - now",IF(I20=4,"P2 - this month","P3 - later")))</f>
        <v>P1 - now</v>
      </c>
      <c r="K20" s="19" t="s">
        <v>688</v>
      </c>
      <c r="L20" s="19" t="s">
        <v>689</v>
      </c>
      <c r="M20" s="17" t="s">
        <v>271</v>
      </c>
      <c r="N20" s="15" t="s">
        <v>55</v>
      </c>
      <c r="O20" s="15"/>
      <c r="P20" s="16"/>
      <c r="Q20" s="19" t="s">
        <v>690</v>
      </c>
    </row>
    <row r="21" customFormat="false" ht="45.75" hidden="false" customHeight="true" outlineLevel="0" collapsed="false">
      <c r="A21" s="10" t="s">
        <v>691</v>
      </c>
      <c r="B21" s="10" t="s">
        <v>576</v>
      </c>
      <c r="C21" s="12" t="s">
        <v>99</v>
      </c>
      <c r="D21" s="10" t="s">
        <v>46</v>
      </c>
      <c r="E21" s="10" t="s">
        <v>666</v>
      </c>
      <c r="F21" s="12" t="s">
        <v>603</v>
      </c>
      <c r="G21" s="12"/>
      <c r="H21" s="10" t="s">
        <v>692</v>
      </c>
      <c r="I21" s="23" t="n">
        <v>5</v>
      </c>
      <c r="J21" s="24" t="str">
        <f aca="false">IF(I21="","",IF(I21&gt;=5,"P1 - now",IF(I21=4,"P2 - this month","P3 - later")))</f>
        <v>P1 - now</v>
      </c>
      <c r="K21" s="12" t="s">
        <v>693</v>
      </c>
      <c r="L21" s="12" t="s">
        <v>694</v>
      </c>
      <c r="M21" s="10" t="s">
        <v>271</v>
      </c>
      <c r="N21" s="15" t="s">
        <v>55</v>
      </c>
      <c r="O21" s="15"/>
      <c r="P21" s="16"/>
      <c r="Q21" s="12" t="s">
        <v>695</v>
      </c>
    </row>
    <row r="22" customFormat="false" ht="45.75" hidden="false" customHeight="true" outlineLevel="0" collapsed="false">
      <c r="A22" s="17" t="s">
        <v>696</v>
      </c>
      <c r="B22" s="17" t="s">
        <v>576</v>
      </c>
      <c r="C22" s="19" t="s">
        <v>697</v>
      </c>
      <c r="D22" s="17" t="s">
        <v>543</v>
      </c>
      <c r="E22" s="17" t="s">
        <v>698</v>
      </c>
      <c r="F22" s="19" t="s">
        <v>699</v>
      </c>
      <c r="G22" s="19"/>
      <c r="H22" s="17" t="s">
        <v>700</v>
      </c>
      <c r="I22" s="25" t="n">
        <v>3</v>
      </c>
      <c r="J22" s="26" t="str">
        <f aca="false">IF(I22="","",IF(I22&gt;=5,"P1 - now",IF(I22=4,"P2 - this month","P3 - later")))</f>
        <v>P3 - later</v>
      </c>
      <c r="K22" s="19" t="s">
        <v>701</v>
      </c>
      <c r="L22" s="19" t="s">
        <v>702</v>
      </c>
      <c r="M22" s="17" t="s">
        <v>606</v>
      </c>
      <c r="N22" s="15" t="s">
        <v>55</v>
      </c>
      <c r="O22" s="15"/>
      <c r="P22" s="16"/>
      <c r="Q22" s="19" t="s">
        <v>703</v>
      </c>
    </row>
    <row r="23" customFormat="false" ht="45.75" hidden="false" customHeight="true" outlineLevel="0" collapsed="false">
      <c r="A23" s="10" t="s">
        <v>704</v>
      </c>
      <c r="B23" s="10" t="s">
        <v>576</v>
      </c>
      <c r="C23" s="12" t="s">
        <v>705</v>
      </c>
      <c r="D23" s="10" t="s">
        <v>235</v>
      </c>
      <c r="E23" s="10" t="s">
        <v>706</v>
      </c>
      <c r="F23" s="12" t="s">
        <v>707</v>
      </c>
      <c r="G23" s="12"/>
      <c r="H23" s="10" t="s">
        <v>708</v>
      </c>
      <c r="I23" s="23" t="n">
        <v>3</v>
      </c>
      <c r="J23" s="24" t="str">
        <f aca="false">IF(I23="","",IF(I23&gt;=5,"P1 - now",IF(I23=4,"P2 - this month","P3 - later")))</f>
        <v>P3 - later</v>
      </c>
      <c r="K23" s="12" t="s">
        <v>709</v>
      </c>
      <c r="L23" s="12" t="s">
        <v>710</v>
      </c>
      <c r="M23" s="10" t="s">
        <v>606</v>
      </c>
      <c r="N23" s="15" t="s">
        <v>55</v>
      </c>
      <c r="O23" s="15"/>
      <c r="P23" s="16"/>
      <c r="Q23" s="12" t="s">
        <v>711</v>
      </c>
    </row>
    <row r="24" customFormat="false" ht="45.75" hidden="false" customHeight="true" outlineLevel="0" collapsed="false">
      <c r="A24" s="17" t="s">
        <v>712</v>
      </c>
      <c r="B24" s="17" t="s">
        <v>576</v>
      </c>
      <c r="C24" s="19" t="s">
        <v>713</v>
      </c>
      <c r="D24" s="17" t="s">
        <v>235</v>
      </c>
      <c r="E24" s="17" t="s">
        <v>714</v>
      </c>
      <c r="F24" s="19" t="s">
        <v>715</v>
      </c>
      <c r="G24" s="19"/>
      <c r="H24" s="17" t="s">
        <v>716</v>
      </c>
      <c r="I24" s="25" t="n">
        <v>4</v>
      </c>
      <c r="J24" s="26" t="str">
        <f aca="false">IF(I24="","",IF(I24&gt;=5,"P1 - now",IF(I24=4,"P2 - this month","P3 - later")))</f>
        <v>P2 - this month</v>
      </c>
      <c r="K24" s="19" t="s">
        <v>717</v>
      </c>
      <c r="L24" s="19" t="s">
        <v>718</v>
      </c>
      <c r="M24" s="17" t="s">
        <v>606</v>
      </c>
      <c r="N24" s="15" t="s">
        <v>55</v>
      </c>
      <c r="O24" s="15"/>
      <c r="P24" s="16"/>
      <c r="Q24" s="19" t="s">
        <v>719</v>
      </c>
    </row>
    <row r="26" customFormat="false" ht="15" hidden="false" customHeight="true" outlineLevel="0" collapsed="false">
      <c r="A26" s="3" t="s">
        <v>340</v>
      </c>
    </row>
  </sheetData>
  <autoFilter ref="A4:Q24"/>
  <dataValidations count="2">
    <dataValidation allowBlank="true" errorStyle="stop" operator="between" showDropDown="false" showErrorMessage="false" showInputMessage="false" sqref="N5:N24" type="list">
      <formula1>"Not started,Researching,Contacted,In conversation,Won,Passed"</formula1>
      <formula2>0</formula2>
    </dataValidation>
    <dataValidation allowBlank="true" errorStyle="stop" operator="between" showDropDown="false" showErrorMessage="false" showInputMessage="false" sqref="I5:I24" type="list">
      <formula1>"1,2,3,4,5"</formula1>
      <formula2>0</formula2>
    </dataValidation>
  </dataValidations>
  <hyperlinks>
    <hyperlink ref="G5" r:id="rId1" display="https://www.instagram.com/kitabkhana/"/>
    <hyperlink ref="G6" r:id="rId2" display="https://www.instagram.com/thewhitecrowbooksandcoffee/"/>
    <hyperlink ref="G7" r:id="rId3" display="https://champaca.in/"/>
    <hyperlink ref="G10" r:id="rId4" display="https://en.wikipedia.org/wiki/Bahrisons_Booksellers"/>
    <hyperlink ref="G20" r:id="rId5" display="https://www.attagalatta.com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5" min="3" style="1" width="12"/>
    <col collapsed="false" customWidth="true" hidden="false" outlineLevel="0" max="6" min="6" style="1" width="14"/>
    <col collapsed="false" customWidth="true" hidden="false" outlineLevel="0" max="9" min="7" style="1" width="12"/>
  </cols>
  <sheetData>
    <row r="2" customFormat="false" ht="19.5" hidden="false" customHeight="true" outlineLevel="0" collapsed="false">
      <c r="B2" s="27" t="s">
        <v>720</v>
      </c>
    </row>
    <row r="3" customFormat="false" ht="15" hidden="false" customHeight="true" outlineLevel="0" collapsed="false">
      <c r="B3" s="3" t="s">
        <v>721</v>
      </c>
    </row>
    <row r="5" customFormat="false" ht="27.75" hidden="false" customHeight="true" outlineLevel="0" collapsed="false">
      <c r="B5" s="28" t="s">
        <v>248</v>
      </c>
      <c r="C5" s="28" t="s">
        <v>722</v>
      </c>
      <c r="D5" s="28" t="s">
        <v>723</v>
      </c>
      <c r="E5" s="28" t="s">
        <v>724</v>
      </c>
      <c r="F5" s="28" t="s">
        <v>725</v>
      </c>
      <c r="G5" s="28" t="s">
        <v>55</v>
      </c>
      <c r="H5" s="28" t="s">
        <v>726</v>
      </c>
      <c r="I5" s="28" t="s">
        <v>727</v>
      </c>
      <c r="J5" s="28" t="s">
        <v>728</v>
      </c>
      <c r="K5" s="28" t="s">
        <v>729</v>
      </c>
      <c r="L5" s="28" t="s">
        <v>730</v>
      </c>
    </row>
    <row r="6" customFormat="false" ht="15" hidden="false" customHeight="true" outlineLevel="0" collapsed="false">
      <c r="B6" s="29" t="s">
        <v>263</v>
      </c>
      <c r="C6" s="30" t="n">
        <f aca="false">COUNTA(Campus!$C$5:$C$16)</f>
        <v>12</v>
      </c>
      <c r="D6" s="30" t="n">
        <f aca="false">COUNTIF(Campus!$I$5:$I$16,5)</f>
        <v>5</v>
      </c>
      <c r="E6" s="30" t="n">
        <f aca="false">COUNTIF(Campus!$I$5:$I$16,4)</f>
        <v>7</v>
      </c>
      <c r="F6" s="30" t="n">
        <f aca="false">COUNTIF(Campus!$I$5:$I$16,"&lt;=3")</f>
        <v>0</v>
      </c>
      <c r="G6" s="30" t="n">
        <f aca="false">COUNTIF(Campus!$N$5:$N$16,"Not started")</f>
        <v>12</v>
      </c>
      <c r="H6" s="30" t="n">
        <f aca="false">COUNTIF(Campus!$N$5:$N$16,"Researching")</f>
        <v>0</v>
      </c>
      <c r="I6" s="30" t="n">
        <f aca="false">COUNTIF(Campus!$N$5:$N$16,"Contacted")</f>
        <v>0</v>
      </c>
      <c r="J6" s="30" t="n">
        <f aca="false">COUNTIF(Campus!$N$5:$N$16,"In conversation")</f>
        <v>0</v>
      </c>
      <c r="K6" s="30" t="n">
        <f aca="false">COUNTIF(Campus!$N$5:$N$16,"Won")</f>
        <v>0</v>
      </c>
      <c r="L6" s="30" t="n">
        <f aca="false">COUNTIF(Campus!$N$5:$N$16,"Passed")</f>
        <v>0</v>
      </c>
    </row>
    <row r="7" customFormat="false" ht="15" hidden="false" customHeight="true" outlineLevel="0" collapsed="false">
      <c r="B7" s="29" t="s">
        <v>731</v>
      </c>
      <c r="C7" s="30" t="n">
        <f aca="false">COUNTA(Creators!$C$5:$C$16)</f>
        <v>12</v>
      </c>
      <c r="D7" s="30" t="n">
        <f aca="false">COUNTIF(Creators!$I$5:$I$16,5)</f>
        <v>1</v>
      </c>
      <c r="E7" s="30" t="n">
        <f aca="false">COUNTIF(Creators!$I$5:$I$16,4)</f>
        <v>6</v>
      </c>
      <c r="F7" s="30" t="n">
        <f aca="false">COUNTIF(Creators!$I$5:$I$16,"&lt;=3")</f>
        <v>5</v>
      </c>
      <c r="G7" s="30" t="n">
        <f aca="false">COUNTIF(Creators!$N$5:$N$16,"Not started")</f>
        <v>12</v>
      </c>
      <c r="H7" s="30" t="n">
        <f aca="false">COUNTIF(Creators!$N$5:$N$16,"Researching")</f>
        <v>0</v>
      </c>
      <c r="I7" s="30" t="n">
        <f aca="false">COUNTIF(Creators!$N$5:$N$16,"Contacted")</f>
        <v>0</v>
      </c>
      <c r="J7" s="30" t="n">
        <f aca="false">COUNTIF(Creators!$N$5:$N$16,"In conversation")</f>
        <v>0</v>
      </c>
      <c r="K7" s="30" t="n">
        <f aca="false">COUNTIF(Creators!$N$5:$N$16,"Won")</f>
        <v>0</v>
      </c>
      <c r="L7" s="30" t="n">
        <f aca="false">COUNTIF(Creators!$N$5:$N$16,"Passed")</f>
        <v>0</v>
      </c>
    </row>
    <row r="8" customFormat="false" ht="15" hidden="false" customHeight="true" outlineLevel="0" collapsed="false">
      <c r="B8" s="29" t="s">
        <v>732</v>
      </c>
      <c r="C8" s="30" t="n">
        <f aca="false">COUNTA(Communities!$C$5:$C$23)</f>
        <v>19</v>
      </c>
      <c r="D8" s="30" t="n">
        <f aca="false">COUNTIF(Communities!$I$5:$I$23,5)</f>
        <v>8</v>
      </c>
      <c r="E8" s="30" t="n">
        <f aca="false">COUNTIF(Communities!$I$5:$I$23,4)</f>
        <v>10</v>
      </c>
      <c r="F8" s="30" t="n">
        <f aca="false">COUNTIF(Communities!$I$5:$I$23,"&lt;=3")</f>
        <v>1</v>
      </c>
      <c r="G8" s="30" t="n">
        <f aca="false">COUNTIF(Communities!$N$5:$N$23,"Not started")</f>
        <v>19</v>
      </c>
      <c r="H8" s="30" t="n">
        <f aca="false">COUNTIF(Communities!$N$5:$N$23,"Researching")</f>
        <v>0</v>
      </c>
      <c r="I8" s="30" t="n">
        <f aca="false">COUNTIF(Communities!$N$5:$N$23,"Contacted")</f>
        <v>0</v>
      </c>
      <c r="J8" s="30" t="n">
        <f aca="false">COUNTIF(Communities!$N$5:$N$23,"In conversation")</f>
        <v>0</v>
      </c>
      <c r="K8" s="30" t="n">
        <f aca="false">COUNTIF(Communities!$N$5:$N$23,"Won")</f>
        <v>0</v>
      </c>
      <c r="L8" s="30" t="n">
        <f aca="false">COUNTIF(Communities!$N$5:$N$23,"Passed")</f>
        <v>0</v>
      </c>
    </row>
    <row r="9" customFormat="false" ht="15" hidden="false" customHeight="true" outlineLevel="0" collapsed="false">
      <c r="B9" s="29" t="s">
        <v>733</v>
      </c>
      <c r="C9" s="30" t="n">
        <f aca="false">COUNTA(Partners!$C$5:$C$24)</f>
        <v>20</v>
      </c>
      <c r="D9" s="30" t="n">
        <f aca="false">COUNTIF(Partners!$I$5:$I$24,5)</f>
        <v>8</v>
      </c>
      <c r="E9" s="30" t="n">
        <f aca="false">COUNTIF(Partners!$I$5:$I$24,4)</f>
        <v>9</v>
      </c>
      <c r="F9" s="30" t="n">
        <f aca="false">COUNTIF(Partners!$I$5:$I$24,"&lt;=3")</f>
        <v>3</v>
      </c>
      <c r="G9" s="30" t="n">
        <f aca="false">COUNTIF(Partners!$N$5:$N$24,"Not started")</f>
        <v>20</v>
      </c>
      <c r="H9" s="30" t="n">
        <f aca="false">COUNTIF(Partners!$N$5:$N$24,"Researching")</f>
        <v>0</v>
      </c>
      <c r="I9" s="30" t="n">
        <f aca="false">COUNTIF(Partners!$N$5:$N$24,"Contacted")</f>
        <v>0</v>
      </c>
      <c r="J9" s="30" t="n">
        <f aca="false">COUNTIF(Partners!$N$5:$N$24,"In conversation")</f>
        <v>0</v>
      </c>
      <c r="K9" s="30" t="n">
        <f aca="false">COUNTIF(Partners!$N$5:$N$24,"Won")</f>
        <v>0</v>
      </c>
      <c r="L9" s="30" t="n">
        <f aca="false">COUNTIF(Partners!$N$5:$N$24,"Passed")</f>
        <v>0</v>
      </c>
    </row>
    <row r="10" customFormat="false" ht="15" hidden="false" customHeight="true" outlineLevel="0" collapsed="false">
      <c r="B10" s="31" t="s">
        <v>734</v>
      </c>
      <c r="C10" s="32" t="n">
        <f aca="false">SUM(C6:C9)</f>
        <v>63</v>
      </c>
      <c r="D10" s="32" t="n">
        <f aca="false">SUM(D6:D9)</f>
        <v>22</v>
      </c>
      <c r="E10" s="32" t="n">
        <f aca="false">SUM(E6:E9)</f>
        <v>32</v>
      </c>
      <c r="F10" s="32" t="n">
        <f aca="false">SUM(F6:F9)</f>
        <v>9</v>
      </c>
      <c r="G10" s="32" t="n">
        <f aca="false">SUM(G6:G9)</f>
        <v>63</v>
      </c>
      <c r="H10" s="32" t="n">
        <f aca="false">SUM(H6:H9)</f>
        <v>0</v>
      </c>
      <c r="I10" s="32" t="n">
        <f aca="false">SUM(I6:I9)</f>
        <v>0</v>
      </c>
      <c r="J10" s="32" t="n">
        <f aca="false">SUM(J6:J9)</f>
        <v>0</v>
      </c>
      <c r="K10" s="32" t="n">
        <f aca="false">SUM(K6:K9)</f>
        <v>0</v>
      </c>
      <c r="L10" s="32" t="n">
        <f aca="false">SUM(L6:L9)</f>
        <v>0</v>
      </c>
    </row>
    <row r="12" customFormat="false" ht="15" hidden="false" customHeight="true" outlineLevel="0" collapsed="false">
      <c r="B12" s="3" t="s">
        <v>735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2026-08-26T18:50:27Z</dcterms:created>
  <dc:creator>openpyxl</dc:creator>
  <dc:description/>
  <dc:language>en-US</dc:language>
  <cp:lastModifiedBy/>
  <dcterms:modified xsi:type="dcterms:W3CDTF">2026-08-26T18:59:12Z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